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 FINANZAS" sheetId="1" r:id="rId5"/>
    <sheet state="visible" name="PRESUPUESTO" sheetId="2" r:id="rId6"/>
    <sheet state="visible" name="OPORTUNIDADES DE MEJORA" sheetId="3" r:id="rId7"/>
    <sheet state="visible" name="ESTADO DE RESULTADOS" sheetId="4" r:id="rId8"/>
    <sheet state="visible" name="PRESUPUESTO MEJORADO" sheetId="5" r:id="rId9"/>
  </sheets>
  <definedNames/>
  <calcPr/>
</workbook>
</file>

<file path=xl/sharedStrings.xml><?xml version="1.0" encoding="utf-8"?>
<sst xmlns="http://schemas.openxmlformats.org/spreadsheetml/2006/main" count="295" uniqueCount="117">
  <si>
    <t>Salario mensual objetivo</t>
  </si>
  <si>
    <t>INGRESOS</t>
  </si>
  <si>
    <t>GASTOS</t>
  </si>
  <si>
    <t>Fuente de ingreso</t>
  </si>
  <si>
    <t>Fijo/Variable</t>
  </si>
  <si>
    <t>¿Cada cuanto?</t>
  </si>
  <si>
    <t>Categoría</t>
  </si>
  <si>
    <t>Valor</t>
  </si>
  <si>
    <t>Concepto de gasto</t>
  </si>
  <si>
    <t>Tipo</t>
  </si>
  <si>
    <t>Salario</t>
  </si>
  <si>
    <t>Fijo</t>
  </si>
  <si>
    <t>Mensual</t>
  </si>
  <si>
    <t>Arriendo</t>
  </si>
  <si>
    <t>Necesario</t>
  </si>
  <si>
    <t>Hogar</t>
  </si>
  <si>
    <t>Prima salario</t>
  </si>
  <si>
    <t>Semestral</t>
  </si>
  <si>
    <t>Otros ingresos</t>
  </si>
  <si>
    <t>Administración</t>
  </si>
  <si>
    <t>Proyectos asesorias</t>
  </si>
  <si>
    <t>Variable</t>
  </si>
  <si>
    <t>Trimestral</t>
  </si>
  <si>
    <t>Negocio</t>
  </si>
  <si>
    <t>Mercado</t>
  </si>
  <si>
    <t>Alimentación</t>
  </si>
  <si>
    <t>Dividendos inversiones</t>
  </si>
  <si>
    <t>Anual</t>
  </si>
  <si>
    <t>Inversión</t>
  </si>
  <si>
    <t>Agua</t>
  </si>
  <si>
    <t>Bimensual</t>
  </si>
  <si>
    <t>Bonos adicionales</t>
  </si>
  <si>
    <t>Luz</t>
  </si>
  <si>
    <t>Otro</t>
  </si>
  <si>
    <t>Gas</t>
  </si>
  <si>
    <t>Provisiones pagos</t>
  </si>
  <si>
    <t>Provisiones</t>
  </si>
  <si>
    <t>Plan de datos</t>
  </si>
  <si>
    <t>No tan necesario</t>
  </si>
  <si>
    <t>Otros gastos</t>
  </si>
  <si>
    <t>Gasolina</t>
  </si>
  <si>
    <t>Transporte</t>
  </si>
  <si>
    <t>Mantenimiento carro</t>
  </si>
  <si>
    <t>Seguro carro</t>
  </si>
  <si>
    <t>Gimnasio</t>
  </si>
  <si>
    <t>Internet y telefono</t>
  </si>
  <si>
    <t>No necesario</t>
  </si>
  <si>
    <t>Familia</t>
  </si>
  <si>
    <t>Streaming (Netflix, spotify…)</t>
  </si>
  <si>
    <t>Taxi/Uber/Bus</t>
  </si>
  <si>
    <t>Crédito carro</t>
  </si>
  <si>
    <t>Deudas entidades</t>
  </si>
  <si>
    <t>Viajes</t>
  </si>
  <si>
    <t>Entretenimiento</t>
  </si>
  <si>
    <t>Restaurantes</t>
  </si>
  <si>
    <t>Peluqueria perritos</t>
  </si>
  <si>
    <t>Seguro médico</t>
  </si>
  <si>
    <t>Centro comercial</t>
  </si>
  <si>
    <t>Impuestos</t>
  </si>
  <si>
    <t>Juguetes perritos</t>
  </si>
  <si>
    <t>Peluquería</t>
  </si>
  <si>
    <t>Domicilios</t>
  </si>
  <si>
    <t>Ropa</t>
  </si>
  <si>
    <t>MENSUAL</t>
  </si>
  <si>
    <t>ANUAL</t>
  </si>
  <si>
    <t>Total</t>
  </si>
  <si>
    <t>TOTAL INGRESOS</t>
  </si>
  <si>
    <t>Deudas conocidos</t>
  </si>
  <si>
    <t>TOTAL GASTOS</t>
  </si>
  <si>
    <t>FIJO</t>
  </si>
  <si>
    <t>VARIABLE</t>
  </si>
  <si>
    <t>TOTAL</t>
  </si>
  <si>
    <t>FLUJO DE CAJA LIBRE</t>
  </si>
  <si>
    <t>INDICADOR</t>
  </si>
  <si>
    <t>Deudas con entidades</t>
  </si>
  <si>
    <t>Deudas con amigos</t>
  </si>
  <si>
    <t>TIPOS DE INGRESO</t>
  </si>
  <si>
    <t>TIPOS DE GASTO</t>
  </si>
  <si>
    <t>ACTUAL (MES)</t>
  </si>
  <si>
    <t>MEJORA (MES)</t>
  </si>
  <si>
    <t>No necesarios</t>
  </si>
  <si>
    <t>No tan necesarios</t>
  </si>
  <si>
    <t>TOTAL GASTOS VARIABLES</t>
  </si>
  <si>
    <t>AHORRO AÑO</t>
  </si>
  <si>
    <t>TOTAL AHORRO</t>
  </si>
  <si>
    <t>GASTOS VARIABLES</t>
  </si>
  <si>
    <t>TIPO</t>
  </si>
  <si>
    <t>GASTO MENSUAL</t>
  </si>
  <si>
    <t>NUEVO GASTO MENSUAL</t>
  </si>
  <si>
    <t>ESTADO DE RESULTADOS INICIAL</t>
  </si>
  <si>
    <t>ESTADO DE RESULTADOS MEJORADO</t>
  </si>
  <si>
    <t>(+)</t>
  </si>
  <si>
    <t>INGRESOS MENSUALES</t>
  </si>
  <si>
    <t>Ingresos fijos</t>
  </si>
  <si>
    <t>Ingresos variables</t>
  </si>
  <si>
    <t>(-)</t>
  </si>
  <si>
    <t>GASTOS FIJOS</t>
  </si>
  <si>
    <t>Gastos fijos necesarios</t>
  </si>
  <si>
    <t>Gastos fijos provisiones</t>
  </si>
  <si>
    <t>DEUDAS</t>
  </si>
  <si>
    <t>Cuota deudas entidades</t>
  </si>
  <si>
    <t>Cuota deudas conocidos</t>
  </si>
  <si>
    <t>(=)</t>
  </si>
  <si>
    <t>FLUJO DE AHORRO 1</t>
  </si>
  <si>
    <t>SALARIO PERSONAL</t>
  </si>
  <si>
    <t>Gastos no tan necesarios</t>
  </si>
  <si>
    <t>Gastos no necesarios</t>
  </si>
  <si>
    <t>FLUJO DE AHORRO 2</t>
  </si>
  <si>
    <t>Capacidad inversión</t>
  </si>
  <si>
    <t>MI PRESUPUESTO MEJORADO</t>
  </si>
  <si>
    <t>Concepto</t>
  </si>
  <si>
    <t>Ingreso/Gasto</t>
  </si>
  <si>
    <t>Cada cuanto</t>
  </si>
  <si>
    <t>CATEGORÍA</t>
  </si>
  <si>
    <t>PRESUPUESTO (MES)</t>
  </si>
  <si>
    <t>PRESUPUESTO (AÑO)</t>
  </si>
  <si>
    <t>CAPACIDAD INVERSIÓN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</si>
</sst>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&quot;$&quot;\ * #,##0_-;\-&quot;$&quot;\ * #,##0_-;_-&quot;$&quot;\ * &quot;-&quot;??_-;_-@"/>
    <numFmt numFmtId="165" formatCode="_-&quot;$&quot;\ * #,##0.00_-;\-&quot;$&quot;\ * #,##0.00_-;_-&quot;$&quot;\ * &quot;-&quot;??_-;_-@"/>
    <numFmt numFmtId="166" formatCode="&quot;$&quot;\ #,##0;[Red]&quot;$&quot;\ #,##0"/>
    <numFmt numFmtId="167" formatCode="&quot;$&quot;\ #,##0;[Red]\-&quot;$&quot;\ #,##0"/>
    <numFmt numFmtId="168" formatCode="&quot;$&quot;#,##0"/>
    <numFmt numFmtId="169" formatCode="&quot;$&quot;\ #,##0"/>
    <numFmt numFmtId="170" formatCode="[$ $]#,##0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66FF33"/>
      <name val="Calibri"/>
    </font>
    <font/>
    <font>
      <i/>
      <sz val="11.0"/>
      <color theme="1"/>
      <name val="Calibri"/>
    </font>
    <font>
      <sz val="10.0"/>
      <color theme="1"/>
      <name val="Calibri"/>
    </font>
    <font>
      <sz val="9.0"/>
      <color rgb="FF000000"/>
      <name val="&quot;Google Sans Mono&quot;"/>
    </font>
    <font>
      <b/>
      <sz val="14.0"/>
      <color rgb="FF000000"/>
      <name val="Calibri"/>
    </font>
    <font>
      <sz val="14.0"/>
      <color theme="1"/>
      <name val="Calibri"/>
    </font>
    <font>
      <b/>
      <color rgb="FF00FF00"/>
      <name val="Arial"/>
    </font>
    <font>
      <color theme="1"/>
      <name val="Calibri"/>
      <scheme val="minor"/>
    </font>
    <font>
      <color theme="1"/>
      <name val="Arial"/>
    </font>
    <font>
      <i/>
      <color theme="1"/>
      <name val="Arial"/>
    </font>
    <font>
      <b/>
      <color theme="1"/>
      <name val="Arial"/>
    </font>
    <font>
      <b/>
      <sz val="13.0"/>
      <color theme="1"/>
      <name val="Arial"/>
    </font>
    <font>
      <sz val="13.0"/>
      <color theme="1"/>
      <name val="Calibri"/>
    </font>
    <font>
      <sz val="13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69">
    <border/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bottom/>
    </border>
    <border>
      <left/>
      <bottom/>
    </border>
    <border>
      <left/>
      <right style="thin">
        <color rgb="FF000000"/>
      </right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/>
      <top/>
    </border>
    <border>
      <left/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</border>
    <border>
      <left/>
      <right style="thin">
        <color rgb="FF000000"/>
      </right>
    </border>
    <border>
      <right/>
      <top style="thin">
        <color rgb="FF000000"/>
      </top>
      <bottom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right/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3" fontId="2" numFmtId="0" xfId="0" applyAlignment="1" applyBorder="1" applyFill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6" fillId="2" fontId="1" numFmtId="0" xfId="0" applyBorder="1" applyFont="1"/>
    <xf borderId="7" fillId="2" fontId="1" numFmtId="0" xfId="0" applyBorder="1" applyFont="1"/>
    <xf borderId="8" fillId="4" fontId="3" numFmtId="0" xfId="0" applyAlignment="1" applyBorder="1" applyFill="1" applyFont="1">
      <alignment horizontal="center"/>
    </xf>
    <xf borderId="9" fillId="0" fontId="4" numFmtId="0" xfId="0" applyBorder="1" applyFont="1"/>
    <xf borderId="10" fillId="0" fontId="4" numFmtId="0" xfId="0" applyBorder="1" applyFont="1"/>
    <xf borderId="4" fillId="2" fontId="5" numFmtId="0" xfId="0" applyAlignment="1" applyBorder="1" applyFont="1">
      <alignment horizontal="center"/>
    </xf>
    <xf borderId="11" fillId="2" fontId="5" numFmtId="0" xfId="0" applyAlignment="1" applyBorder="1" applyFont="1">
      <alignment horizontal="center"/>
    </xf>
    <xf borderId="5" fillId="2" fontId="5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4" fillId="2" fontId="1" numFmtId="164" xfId="0" applyAlignment="1" applyBorder="1" applyFont="1" applyNumberFormat="1">
      <alignment horizontal="center"/>
    </xf>
    <xf borderId="1" fillId="2" fontId="1" numFmtId="164" xfId="0" applyBorder="1" applyFont="1" applyNumberFormat="1"/>
    <xf borderId="14" fillId="2" fontId="1" numFmtId="164" xfId="0" applyAlignment="1" applyBorder="1" applyFont="1" applyNumberFormat="1">
      <alignment horizontal="center" readingOrder="0"/>
    </xf>
    <xf borderId="13" fillId="0" fontId="6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center" readingOrder="0"/>
    </xf>
    <xf borderId="1" fillId="2" fontId="1" numFmtId="165" xfId="0" applyBorder="1" applyFont="1" applyNumberFormat="1"/>
    <xf borderId="15" fillId="2" fontId="1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17" fillId="2" fontId="1" numFmtId="164" xfId="0" applyAlignment="1" applyBorder="1" applyFont="1" applyNumberFormat="1">
      <alignment horizontal="center"/>
    </xf>
    <xf borderId="18" fillId="4" fontId="3" numFmtId="0" xfId="0" applyAlignment="1" applyBorder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4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 readingOrder="0"/>
    </xf>
    <xf borderId="21" fillId="4" fontId="3" numFmtId="0" xfId="0" applyAlignment="1" applyBorder="1" applyFont="1">
      <alignment horizontal="center" readingOrder="0"/>
    </xf>
    <xf borderId="22" fillId="0" fontId="4" numFmtId="0" xfId="0" applyBorder="1" applyFont="1"/>
    <xf borderId="5" fillId="4" fontId="3" numFmtId="0" xfId="0" applyAlignment="1" applyBorder="1" applyFont="1">
      <alignment horizontal="center"/>
    </xf>
    <xf borderId="11" fillId="4" fontId="3" numFmtId="0" xfId="0" applyAlignment="1" applyBorder="1" applyFont="1">
      <alignment horizontal="center" readingOrder="0"/>
    </xf>
    <xf borderId="21" fillId="4" fontId="3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24" fillId="2" fontId="1" numFmtId="166" xfId="0" applyAlignment="1" applyBorder="1" applyFont="1" applyNumberFormat="1">
      <alignment horizontal="center"/>
    </xf>
    <xf borderId="7" fillId="2" fontId="1" numFmtId="166" xfId="0" applyAlignment="1" applyBorder="1" applyFont="1" applyNumberFormat="1">
      <alignment horizontal="center"/>
    </xf>
    <xf borderId="25" fillId="2" fontId="1" numFmtId="166" xfId="0" applyAlignment="1" applyBorder="1" applyFont="1" applyNumberFormat="1">
      <alignment horizontal="center"/>
    </xf>
    <xf borderId="26" fillId="2" fontId="1" numFmtId="166" xfId="0" applyAlignment="1" applyBorder="1" applyFont="1" applyNumberFormat="1">
      <alignment horizontal="center"/>
    </xf>
    <xf borderId="12" fillId="2" fontId="1" numFmtId="166" xfId="0" applyAlignment="1" applyBorder="1" applyFont="1" applyNumberFormat="1">
      <alignment horizontal="center"/>
    </xf>
    <xf borderId="1" fillId="2" fontId="1" numFmtId="166" xfId="0" applyAlignment="1" applyBorder="1" applyFont="1" applyNumberFormat="1">
      <alignment horizontal="center"/>
    </xf>
    <xf borderId="3" fillId="2" fontId="1" numFmtId="166" xfId="0" applyAlignment="1" applyBorder="1" applyFont="1" applyNumberFormat="1">
      <alignment horizontal="center"/>
    </xf>
    <xf borderId="14" fillId="2" fontId="1" numFmtId="166" xfId="0" applyAlignment="1" applyBorder="1" applyFont="1" applyNumberFormat="1">
      <alignment horizontal="center"/>
    </xf>
    <xf borderId="15" fillId="5" fontId="2" numFmtId="0" xfId="0" applyAlignment="1" applyBorder="1" applyFill="1" applyFont="1">
      <alignment horizontal="center"/>
    </xf>
    <xf borderId="15" fillId="5" fontId="2" numFmtId="166" xfId="0" applyBorder="1" applyFont="1" applyNumberFormat="1"/>
    <xf borderId="27" fillId="5" fontId="2" numFmtId="166" xfId="0" applyBorder="1" applyFont="1" applyNumberFormat="1"/>
    <xf borderId="28" fillId="5" fontId="2" numFmtId="166" xfId="0" applyBorder="1" applyFont="1" applyNumberFormat="1"/>
    <xf borderId="17" fillId="5" fontId="2" numFmtId="166" xfId="0" applyBorder="1" applyFont="1" applyNumberFormat="1"/>
    <xf borderId="15" fillId="4" fontId="3" numFmtId="0" xfId="0" applyAlignment="1" applyBorder="1" applyFont="1">
      <alignment horizontal="center"/>
    </xf>
    <xf borderId="27" fillId="4" fontId="3" numFmtId="0" xfId="0" applyAlignment="1" applyBorder="1" applyFont="1">
      <alignment horizontal="center" readingOrder="0"/>
    </xf>
    <xf borderId="28" fillId="4" fontId="3" numFmtId="0" xfId="0" applyAlignment="1" applyBorder="1" applyFont="1">
      <alignment horizontal="center" readingOrder="0"/>
    </xf>
    <xf borderId="17" fillId="4" fontId="3" numFmtId="0" xfId="0" applyAlignment="1" applyBorder="1" applyFont="1">
      <alignment horizontal="center"/>
    </xf>
    <xf borderId="29" fillId="4" fontId="3" numFmtId="0" xfId="0" applyAlignment="1" applyBorder="1" applyFont="1">
      <alignment horizontal="center"/>
    </xf>
    <xf borderId="30" fillId="4" fontId="3" numFmtId="0" xfId="0" applyAlignment="1" applyBorder="1" applyFont="1">
      <alignment horizontal="center"/>
    </xf>
    <xf borderId="23" fillId="2" fontId="1" numFmtId="166" xfId="0" applyAlignment="1" applyBorder="1" applyFont="1" applyNumberFormat="1">
      <alignment horizontal="center"/>
    </xf>
    <xf borderId="31" fillId="2" fontId="1" numFmtId="166" xfId="0" applyAlignment="1" applyBorder="1" applyFont="1" applyNumberFormat="1">
      <alignment horizontal="center"/>
    </xf>
    <xf borderId="32" fillId="2" fontId="1" numFmtId="166" xfId="0" applyAlignment="1" applyBorder="1" applyFont="1" applyNumberFormat="1">
      <alignment horizontal="center"/>
    </xf>
    <xf borderId="15" fillId="5" fontId="2" numFmtId="166" xfId="0" applyAlignment="1" applyBorder="1" applyFont="1" applyNumberFormat="1">
      <alignment horizontal="center"/>
    </xf>
    <xf borderId="27" fillId="5" fontId="2" numFmtId="166" xfId="0" applyAlignment="1" applyBorder="1" applyFont="1" applyNumberFormat="1">
      <alignment horizontal="center"/>
    </xf>
    <xf borderId="17" fillId="5" fontId="2" numFmtId="166" xfId="0" applyAlignment="1" applyBorder="1" applyFont="1" applyNumberFormat="1">
      <alignment horizontal="center"/>
    </xf>
    <xf borderId="33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4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readingOrder="0"/>
    </xf>
    <xf borderId="34" fillId="2" fontId="1" numFmtId="0" xfId="0" applyAlignment="1" applyBorder="1" applyFont="1">
      <alignment horizontal="center" readingOrder="0"/>
    </xf>
    <xf borderId="33" fillId="0" fontId="4" numFmtId="0" xfId="0" applyBorder="1" applyFont="1"/>
    <xf borderId="19" fillId="4" fontId="3" numFmtId="167" xfId="0" applyAlignment="1" applyBorder="1" applyFont="1" applyNumberFormat="1">
      <alignment horizontal="center"/>
    </xf>
    <xf borderId="20" fillId="4" fontId="3" numFmtId="167" xfId="0" applyAlignment="1" applyBorder="1" applyFont="1" applyNumberFormat="1">
      <alignment horizontal="center"/>
    </xf>
    <xf borderId="35" fillId="4" fontId="3" numFmtId="2" xfId="0" applyAlignment="1" applyBorder="1" applyFont="1" applyNumberFormat="1">
      <alignment horizontal="center" readingOrder="0"/>
    </xf>
    <xf borderId="36" fillId="4" fontId="3" numFmtId="2" xfId="0" applyAlignment="1" applyBorder="1" applyFont="1" applyNumberFormat="1">
      <alignment horizontal="center"/>
    </xf>
    <xf borderId="36" fillId="0" fontId="4" numFmtId="0" xfId="0" applyBorder="1" applyFont="1"/>
    <xf borderId="37" fillId="4" fontId="3" numFmtId="2" xfId="0" applyAlignment="1" applyBorder="1" applyFont="1" applyNumberFormat="1">
      <alignment horizontal="center"/>
    </xf>
    <xf borderId="3" fillId="2" fontId="5" numFmtId="0" xfId="0" applyAlignment="1" applyBorder="1" applyFont="1">
      <alignment horizontal="center"/>
    </xf>
    <xf borderId="6" fillId="0" fontId="4" numFmtId="0" xfId="0" applyBorder="1" applyFont="1"/>
    <xf borderId="38" fillId="4" fontId="3" numFmtId="0" xfId="0" applyAlignment="1" applyBorder="1" applyFont="1">
      <alignment horizontal="center" vertical="center"/>
    </xf>
    <xf borderId="32" fillId="2" fontId="1" numFmtId="9" xfId="0" applyAlignment="1" applyBorder="1" applyFont="1" applyNumberFormat="1">
      <alignment horizontal="center"/>
    </xf>
    <xf borderId="39" fillId="4" fontId="3" numFmtId="0" xfId="0" applyAlignment="1" applyBorder="1" applyFont="1">
      <alignment horizontal="center" vertical="center"/>
    </xf>
    <xf borderId="14" fillId="2" fontId="1" numFmtId="9" xfId="0" applyAlignment="1" applyBorder="1" applyFont="1" applyNumberFormat="1">
      <alignment horizontal="center"/>
    </xf>
    <xf borderId="40" fillId="4" fontId="3" numFmtId="0" xfId="0" applyAlignment="1" applyBorder="1" applyFont="1">
      <alignment horizontal="center" vertical="center"/>
    </xf>
    <xf borderId="17" fillId="2" fontId="1" numFmtId="9" xfId="0" applyAlignment="1" applyBorder="1" applyFont="1" applyNumberFormat="1">
      <alignment horizontal="center"/>
    </xf>
    <xf borderId="28" fillId="2" fontId="5" numFmtId="0" xfId="0" applyAlignment="1" applyBorder="1" applyFont="1">
      <alignment horizontal="center"/>
    </xf>
    <xf borderId="41" fillId="0" fontId="4" numFmtId="0" xfId="0" applyBorder="1" applyFont="1"/>
    <xf borderId="38" fillId="4" fontId="3" numFmtId="0" xfId="0" applyAlignment="1" applyBorder="1" applyFont="1">
      <alignment horizontal="center"/>
    </xf>
    <xf borderId="39" fillId="4" fontId="3" numFmtId="0" xfId="0" applyAlignment="1" applyBorder="1" applyFont="1">
      <alignment horizontal="center"/>
    </xf>
    <xf borderId="39" fillId="4" fontId="3" numFmtId="0" xfId="0" applyAlignment="1" applyBorder="1" applyFont="1">
      <alignment horizontal="center" readingOrder="0"/>
    </xf>
    <xf borderId="42" fillId="4" fontId="3" numFmtId="0" xfId="0" applyAlignment="1" applyBorder="1" applyFont="1">
      <alignment horizontal="center" readingOrder="0"/>
    </xf>
    <xf borderId="43" fillId="2" fontId="1" numFmtId="9" xfId="0" applyAlignment="1" applyBorder="1" applyFont="1" applyNumberFormat="1">
      <alignment horizontal="center"/>
    </xf>
    <xf borderId="40" fillId="4" fontId="3" numFmtId="0" xfId="0" applyAlignment="1" applyBorder="1" applyFont="1">
      <alignment horizontal="center" readingOrder="0"/>
    </xf>
    <xf borderId="44" fillId="0" fontId="4" numFmtId="0" xfId="0" applyBorder="1" applyFont="1"/>
    <xf borderId="31" fillId="2" fontId="1" numFmtId="9" xfId="0" applyAlignment="1" applyBorder="1" applyFont="1" applyNumberFormat="1">
      <alignment horizontal="center"/>
    </xf>
    <xf borderId="32" fillId="2" fontId="1" numFmtId="167" xfId="0" applyAlignment="1" applyBorder="1" applyFont="1" applyNumberFormat="1">
      <alignment horizontal="center"/>
    </xf>
    <xf borderId="25" fillId="2" fontId="1" numFmtId="0" xfId="0" applyBorder="1" applyFont="1"/>
    <xf borderId="40" fillId="4" fontId="3" numFmtId="0" xfId="0" applyAlignment="1" applyBorder="1" applyFont="1">
      <alignment horizontal="center"/>
    </xf>
    <xf borderId="27" fillId="2" fontId="1" numFmtId="9" xfId="0" applyAlignment="1" applyBorder="1" applyFont="1" applyNumberFormat="1">
      <alignment horizontal="center"/>
    </xf>
    <xf borderId="17" fillId="2" fontId="1" numFmtId="167" xfId="0" applyAlignment="1" applyBorder="1" applyFont="1" applyNumberFormat="1">
      <alignment horizontal="center"/>
    </xf>
    <xf borderId="34" fillId="2" fontId="1" numFmtId="0" xfId="0" applyBorder="1" applyFont="1"/>
    <xf borderId="45" fillId="0" fontId="4" numFmtId="0" xfId="0" applyBorder="1" applyFont="1"/>
    <xf borderId="46" fillId="4" fontId="3" numFmtId="0" xfId="0" applyAlignment="1" applyBorder="1" applyFont="1">
      <alignment horizontal="center" readingOrder="0"/>
    </xf>
    <xf borderId="47" fillId="2" fontId="1" numFmtId="9" xfId="0" applyAlignment="1" applyBorder="1" applyFont="1" applyNumberFormat="1">
      <alignment horizontal="center"/>
    </xf>
    <xf borderId="48" fillId="2" fontId="1" numFmtId="167" xfId="0" applyAlignment="1" applyBorder="1" applyFont="1" applyNumberFormat="1">
      <alignment horizontal="center"/>
    </xf>
    <xf borderId="1" fillId="2" fontId="1" numFmtId="0" xfId="0" applyAlignment="1" applyBorder="1" applyFont="1">
      <alignment readingOrder="0"/>
    </xf>
    <xf borderId="1" fillId="2" fontId="1" numFmtId="1" xfId="0" applyBorder="1" applyFont="1" applyNumberFormat="1"/>
    <xf borderId="2" fillId="2" fontId="1" numFmtId="0" xfId="0" applyAlignment="1" applyBorder="1" applyFont="1">
      <alignment readingOrder="0"/>
    </xf>
    <xf borderId="4" fillId="6" fontId="3" numFmtId="0" xfId="0" applyAlignment="1" applyBorder="1" applyFill="1" applyFont="1">
      <alignment horizontal="center" readingOrder="0"/>
    </xf>
    <xf borderId="5" fillId="6" fontId="3" numFmtId="0" xfId="0" applyAlignment="1" applyBorder="1" applyFont="1">
      <alignment horizontal="center" readingOrder="0"/>
    </xf>
    <xf borderId="38" fillId="2" fontId="2" numFmtId="0" xfId="0" applyAlignment="1" applyBorder="1" applyFont="1">
      <alignment readingOrder="0"/>
    </xf>
    <xf borderId="23" fillId="2" fontId="1" numFmtId="167" xfId="0" applyBorder="1" applyFont="1" applyNumberFormat="1"/>
    <xf borderId="32" fillId="2" fontId="1" numFmtId="167" xfId="0" applyBorder="1" applyFont="1" applyNumberFormat="1"/>
    <xf borderId="39" fillId="2" fontId="2" numFmtId="0" xfId="0" applyAlignment="1" applyBorder="1" applyFont="1">
      <alignment readingOrder="0"/>
    </xf>
    <xf borderId="12" fillId="2" fontId="1" numFmtId="167" xfId="0" applyBorder="1" applyFont="1" applyNumberFormat="1"/>
    <xf borderId="14" fillId="2" fontId="1" numFmtId="167" xfId="0" applyBorder="1" applyFont="1" applyNumberFormat="1"/>
    <xf borderId="40" fillId="2" fontId="2" numFmtId="0" xfId="0" applyAlignment="1" applyBorder="1" applyFont="1">
      <alignment readingOrder="0"/>
    </xf>
    <xf borderId="15" fillId="2" fontId="1" numFmtId="167" xfId="0" applyBorder="1" applyFont="1" applyNumberFormat="1"/>
    <xf borderId="17" fillId="2" fontId="1" numFmtId="167" xfId="0" applyBorder="1" applyFont="1" applyNumberFormat="1"/>
    <xf borderId="1" fillId="2" fontId="2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3" fillId="4" fontId="3" numFmtId="168" xfId="0" applyAlignment="1" applyBorder="1" applyFont="1" applyNumberFormat="1">
      <alignment horizontal="center"/>
    </xf>
    <xf borderId="1" fillId="2" fontId="1" numFmtId="168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2" fontId="3" numFmtId="164" xfId="0" applyBorder="1" applyFont="1" applyNumberFormat="1"/>
    <xf borderId="23" fillId="4" fontId="3" numFmtId="0" xfId="0" applyAlignment="1" applyBorder="1" applyFont="1">
      <alignment horizontal="center" readingOrder="0"/>
    </xf>
    <xf borderId="49" fillId="4" fontId="3" numFmtId="0" xfId="0" applyAlignment="1" applyBorder="1" applyFont="1">
      <alignment horizontal="center" readingOrder="0"/>
    </xf>
    <xf borderId="31" fillId="4" fontId="3" numFmtId="0" xfId="0" applyAlignment="1" applyBorder="1" applyFont="1">
      <alignment horizontal="center"/>
    </xf>
    <xf borderId="32" fillId="4" fontId="3" numFmtId="0" xfId="0" applyAlignment="1" applyBorder="1" applyFont="1">
      <alignment horizontal="center"/>
    </xf>
    <xf borderId="12" fillId="5" fontId="1" numFmtId="1" xfId="0" applyBorder="1" applyFont="1" applyNumberFormat="1"/>
    <xf borderId="6" fillId="5" fontId="1" numFmtId="169" xfId="0" applyBorder="1" applyFont="1" applyNumberFormat="1"/>
    <xf borderId="1" fillId="5" fontId="1" numFmtId="169" xfId="0" applyBorder="1" applyFont="1" applyNumberFormat="1"/>
    <xf borderId="14" fillId="2" fontId="1" numFmtId="169" xfId="0" applyAlignment="1" applyBorder="1" applyFont="1" applyNumberFormat="1">
      <alignment readingOrder="0"/>
    </xf>
    <xf borderId="0" fillId="7" fontId="7" numFmtId="0" xfId="0" applyFill="1" applyFont="1"/>
    <xf borderId="1" fillId="2" fontId="1" numFmtId="1" xfId="0" applyAlignment="1" applyBorder="1" applyFont="1" applyNumberFormat="1">
      <alignment readingOrder="0"/>
    </xf>
    <xf borderId="14" fillId="2" fontId="1" numFmtId="169" xfId="0" applyBorder="1" applyFont="1" applyNumberFormat="1"/>
    <xf borderId="15" fillId="5" fontId="1" numFmtId="1" xfId="0" applyBorder="1" applyFont="1" applyNumberFormat="1"/>
    <xf borderId="41" fillId="5" fontId="1" numFmtId="169" xfId="0" applyBorder="1" applyFont="1" applyNumberFormat="1"/>
    <xf borderId="27" fillId="5" fontId="1" numFmtId="169" xfId="0" applyBorder="1" applyFont="1" applyNumberFormat="1"/>
    <xf borderId="17" fillId="2" fontId="1" numFmtId="169" xfId="0" applyBorder="1" applyFont="1" applyNumberFormat="1"/>
    <xf borderId="0" fillId="2" fontId="1" numFmtId="0" xfId="0" applyAlignment="1" applyFont="1">
      <alignment vertical="center"/>
    </xf>
    <xf borderId="2" fillId="2" fontId="1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2" fillId="2" fontId="1" numFmtId="168" xfId="0" applyAlignment="1" applyBorder="1" applyFont="1" applyNumberFormat="1">
      <alignment vertical="center"/>
    </xf>
    <xf borderId="8" fillId="8" fontId="8" numFmtId="0" xfId="0" applyAlignment="1" applyBorder="1" applyFill="1" applyFont="1">
      <alignment horizontal="center" readingOrder="0" vertical="center"/>
    </xf>
    <xf borderId="44" fillId="2" fontId="9" numFmtId="0" xfId="0" applyAlignment="1" applyBorder="1" applyFont="1">
      <alignment vertical="center"/>
    </xf>
    <xf borderId="8" fillId="9" fontId="8" numFmtId="0" xfId="0" applyAlignment="1" applyBorder="1" applyFill="1" applyFont="1">
      <alignment horizontal="center" readingOrder="0" vertical="center"/>
    </xf>
    <xf borderId="6" fillId="2" fontId="1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168" xfId="0" applyAlignment="1" applyBorder="1" applyFont="1" applyNumberFormat="1">
      <alignment vertical="center"/>
    </xf>
    <xf borderId="50" fillId="6" fontId="10" numFmtId="0" xfId="0" applyAlignment="1" applyBorder="1" applyFont="1">
      <alignment horizontal="center" vertical="center"/>
    </xf>
    <xf borderId="51" fillId="6" fontId="10" numFmtId="0" xfId="0" applyAlignment="1" applyBorder="1" applyFont="1">
      <alignment horizontal="center" vertical="center"/>
    </xf>
    <xf borderId="52" fillId="6" fontId="10" numFmtId="170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53" fillId="0" fontId="12" numFmtId="0" xfId="0" applyAlignment="1" applyBorder="1" applyFont="1">
      <alignment vertical="center"/>
    </xf>
    <xf borderId="13" fillId="0" fontId="13" numFmtId="0" xfId="0" applyAlignment="1" applyBorder="1" applyFont="1">
      <alignment horizontal="right" vertical="center"/>
    </xf>
    <xf borderId="54" fillId="0" fontId="12" numFmtId="170" xfId="0" applyAlignment="1" applyBorder="1" applyFont="1" applyNumberFormat="1">
      <alignment horizontal="center" vertical="center"/>
    </xf>
    <xf borderId="53" fillId="10" fontId="14" numFmtId="0" xfId="0" applyAlignment="1" applyBorder="1" applyFill="1" applyFont="1">
      <alignment horizontal="center" vertical="center"/>
    </xf>
    <xf borderId="13" fillId="10" fontId="14" numFmtId="0" xfId="0" applyAlignment="1" applyBorder="1" applyFont="1">
      <alignment horizontal="center" vertical="center"/>
    </xf>
    <xf borderId="54" fillId="10" fontId="14" numFmtId="170" xfId="0" applyAlignment="1" applyBorder="1" applyFont="1" applyNumberFormat="1">
      <alignment horizontal="center" vertical="center"/>
    </xf>
    <xf borderId="0" fillId="2" fontId="1" numFmtId="164" xfId="0" applyAlignment="1" applyFont="1" applyNumberFormat="1">
      <alignment vertical="center"/>
    </xf>
    <xf borderId="55" fillId="0" fontId="12" numFmtId="0" xfId="0" applyAlignment="1" applyBorder="1" applyFont="1">
      <alignment vertical="center"/>
    </xf>
    <xf borderId="56" fillId="0" fontId="12" numFmtId="0" xfId="0" applyAlignment="1" applyBorder="1" applyFont="1">
      <alignment vertical="center"/>
    </xf>
    <xf borderId="57" fillId="0" fontId="12" numFmtId="0" xfId="0" applyAlignment="1" applyBorder="1" applyFont="1">
      <alignment vertical="center"/>
    </xf>
    <xf borderId="58" fillId="6" fontId="10" numFmtId="0" xfId="0" applyAlignment="1" applyBorder="1" applyFont="1">
      <alignment horizontal="center" vertical="center"/>
    </xf>
    <xf borderId="59" fillId="6" fontId="10" numFmtId="0" xfId="0" applyAlignment="1" applyBorder="1" applyFont="1">
      <alignment horizontal="center" vertical="center"/>
    </xf>
    <xf borderId="60" fillId="6" fontId="10" numFmtId="170" xfId="0" applyAlignment="1" applyBorder="1" applyFont="1" applyNumberFormat="1">
      <alignment horizontal="center" vertical="center"/>
    </xf>
    <xf borderId="61" fillId="0" fontId="12" numFmtId="0" xfId="0" applyAlignment="1" applyBorder="1" applyFont="1">
      <alignment vertical="center"/>
    </xf>
    <xf borderId="62" fillId="0" fontId="12" numFmtId="0" xfId="0" applyAlignment="1" applyBorder="1" applyFont="1">
      <alignment vertical="center"/>
    </xf>
    <xf borderId="63" fillId="0" fontId="12" numFmtId="0" xfId="0" applyAlignment="1" applyBorder="1" applyFont="1">
      <alignment vertical="center"/>
    </xf>
    <xf borderId="53" fillId="11" fontId="14" numFmtId="0" xfId="0" applyAlignment="1" applyBorder="1" applyFill="1" applyFont="1">
      <alignment horizontal="center" vertical="center"/>
    </xf>
    <xf borderId="13" fillId="11" fontId="14" numFmtId="0" xfId="0" applyAlignment="1" applyBorder="1" applyFont="1">
      <alignment horizontal="center" vertical="center"/>
    </xf>
    <xf borderId="54" fillId="11" fontId="14" numFmtId="170" xfId="0" applyAlignment="1" applyBorder="1" applyFont="1" applyNumberFormat="1">
      <alignment horizontal="center" vertical="center"/>
    </xf>
    <xf borderId="53" fillId="12" fontId="14" numFmtId="0" xfId="0" applyAlignment="1" applyBorder="1" applyFill="1" applyFont="1">
      <alignment horizontal="center" vertical="center"/>
    </xf>
    <xf borderId="13" fillId="12" fontId="14" numFmtId="0" xfId="0" applyAlignment="1" applyBorder="1" applyFont="1">
      <alignment horizontal="center" vertical="center"/>
    </xf>
    <xf borderId="54" fillId="12" fontId="14" numFmtId="170" xfId="0" applyAlignment="1" applyBorder="1" applyFont="1" applyNumberFormat="1">
      <alignment horizontal="center" vertical="center"/>
    </xf>
    <xf borderId="64" fillId="6" fontId="10" numFmtId="0" xfId="0" applyAlignment="1" applyBorder="1" applyFont="1">
      <alignment horizontal="center" vertical="center"/>
    </xf>
    <xf borderId="65" fillId="6" fontId="10" numFmtId="0" xfId="0" applyAlignment="1" applyBorder="1" applyFont="1">
      <alignment horizontal="center" vertical="center"/>
    </xf>
    <xf borderId="66" fillId="6" fontId="10" numFmtId="170" xfId="0" applyAlignment="1" applyBorder="1" applyFont="1" applyNumberFormat="1">
      <alignment horizontal="center" vertical="center"/>
    </xf>
    <xf borderId="0" fillId="7" fontId="1" numFmtId="0" xfId="0" applyAlignment="1" applyFont="1">
      <alignment vertical="center"/>
    </xf>
    <xf borderId="0" fillId="7" fontId="12" numFmtId="0" xfId="0" applyAlignment="1" applyFont="1">
      <alignment vertical="center"/>
    </xf>
    <xf borderId="0" fillId="7" fontId="14" numFmtId="0" xfId="0" applyAlignment="1" applyFont="1">
      <alignment horizontal="center" vertical="center"/>
    </xf>
    <xf borderId="0" fillId="7" fontId="14" numFmtId="170" xfId="0" applyAlignment="1" applyFont="1" applyNumberFormat="1">
      <alignment horizontal="center" vertical="center"/>
    </xf>
    <xf borderId="0" fillId="7" fontId="11" numFmtId="0" xfId="0" applyAlignment="1" applyFont="1">
      <alignment vertical="center"/>
    </xf>
    <xf borderId="58" fillId="3" fontId="12" numFmtId="0" xfId="0" applyAlignment="1" applyBorder="1" applyFont="1">
      <alignment vertical="center"/>
    </xf>
    <xf borderId="59" fillId="3" fontId="15" numFmtId="0" xfId="0" applyAlignment="1" applyBorder="1" applyFont="1">
      <alignment horizontal="center" vertical="center"/>
    </xf>
    <xf borderId="60" fillId="3" fontId="15" numFmtId="170" xfId="0" applyAlignment="1" applyBorder="1" applyFont="1" applyNumberFormat="1">
      <alignment horizontal="center" vertical="center"/>
    </xf>
    <xf borderId="0" fillId="2" fontId="16" numFmtId="0" xfId="0" applyAlignment="1" applyFont="1">
      <alignment vertical="center"/>
    </xf>
    <xf borderId="58" fillId="3" fontId="17" numFmtId="0" xfId="0" applyAlignment="1" applyBorder="1" applyFont="1">
      <alignment vertical="center"/>
    </xf>
    <xf borderId="67" fillId="2" fontId="1" numFmtId="0" xfId="0" applyAlignment="1" applyBorder="1" applyFont="1">
      <alignment vertical="center"/>
    </xf>
    <xf borderId="1" fillId="2" fontId="1" numFmtId="168" xfId="0" applyAlignment="1" applyBorder="1" applyFont="1" applyNumberFormat="1">
      <alignment vertical="center"/>
    </xf>
    <xf borderId="1" fillId="5" fontId="2" numFmtId="0" xfId="0" applyAlignment="1" applyBorder="1" applyFont="1">
      <alignment horizontal="center"/>
    </xf>
    <xf borderId="4" fillId="4" fontId="3" numFmtId="0" xfId="0" applyBorder="1" applyFont="1"/>
    <xf borderId="11" fillId="4" fontId="3" numFmtId="0" xfId="0" applyBorder="1" applyFont="1"/>
    <xf borderId="5" fillId="4" fontId="3" numFmtId="0" xfId="0" applyBorder="1" applyFont="1"/>
    <xf borderId="31" fillId="2" fontId="1" numFmtId="0" xfId="0" applyAlignment="1" applyBorder="1" applyFont="1">
      <alignment horizontal="center"/>
    </xf>
    <xf borderId="32" fillId="2" fontId="1" numFmtId="164" xfId="0" applyBorder="1" applyFont="1" applyNumberFormat="1"/>
    <xf borderId="31" fillId="2" fontId="1" numFmtId="164" xfId="0" applyBorder="1" applyFont="1" applyNumberFormat="1"/>
    <xf borderId="23" fillId="2" fontId="1" numFmtId="0" xfId="0" applyBorder="1" applyFont="1"/>
    <xf borderId="14" fillId="2" fontId="1" numFmtId="164" xfId="0" applyBorder="1" applyFont="1" applyNumberFormat="1"/>
    <xf borderId="12" fillId="2" fontId="1" numFmtId="0" xfId="0" applyBorder="1" applyFont="1"/>
    <xf borderId="6" fillId="2" fontId="1" numFmtId="164" xfId="0" applyBorder="1" applyFont="1" applyNumberFormat="1"/>
    <xf borderId="12" fillId="2" fontId="1" numFmtId="0" xfId="0" applyAlignment="1" applyBorder="1" applyFont="1">
      <alignment readingOrder="0"/>
    </xf>
    <xf borderId="68" fillId="0" fontId="11" numFmtId="0" xfId="0" applyAlignment="1" applyBorder="1" applyFont="1">
      <alignment readingOrder="0"/>
    </xf>
    <xf borderId="15" fillId="2" fontId="1" numFmtId="0" xfId="0" applyBorder="1" applyFont="1"/>
    <xf borderId="27" fillId="2" fontId="1" numFmtId="164" xfId="0" applyBorder="1" applyFont="1" applyNumberFormat="1"/>
    <xf borderId="17" fillId="2" fontId="1" numFmtId="164" xfId="0" applyBorder="1" applyFont="1" applyNumberFormat="1"/>
    <xf borderId="1" fillId="5" fontId="2" numFmtId="0" xfId="0" applyBorder="1" applyFont="1"/>
    <xf borderId="1" fillId="5" fontId="2" numFmtId="164" xfId="0" applyBorder="1" applyFont="1" applyNumberFormat="1"/>
    <xf borderId="11" fillId="4" fontId="3" numFmtId="164" xfId="0" applyAlignment="1" applyBorder="1" applyFont="1" applyNumberFormat="1">
      <alignment horizontal="center"/>
    </xf>
    <xf borderId="5" fillId="4" fontId="3" numFmtId="164" xfId="0" applyAlignment="1" applyBorder="1" applyFont="1" applyNumberFormat="1">
      <alignment horizontal="center"/>
    </xf>
    <xf borderId="27" fillId="2" fontId="1" numFmtId="0" xfId="0" applyAlignment="1" applyBorder="1" applyFon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MIS INGRESOS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PRESUPUESTO!$B$8:$B$11</c:f>
            </c:strRef>
          </c:cat>
          <c:val>
            <c:numRef>
              <c:f>PRESUPUESTO!$F$8:$F$11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MIS GASTOS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PRESUPUESTO!$B$14:$B$23</c:f>
            </c:strRef>
          </c:cat>
          <c:val>
            <c:numRef>
              <c:f>PRESUPUESTO!$F$14:$F$23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PRESUPUESTO!$B$53:$B$55</c:f>
            </c:strRef>
          </c:cat>
          <c:val>
            <c:numRef>
              <c:f>PRESUPUESTO!$C$53:$C$55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PRESUPUESTO!$B$49:$B$50</c:f>
            </c:strRef>
          </c:cat>
          <c:val>
            <c:numRef>
              <c:f>PRESUPUESTO!$C$49:$C$50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REDUCCIÓN DE GASTOS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GASTO MENSUAL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'OPORTUNIDADES DE MEJORA'!$B$17:$B$118</c:f>
            </c:strRef>
          </c:cat>
          <c:val>
            <c:numRef>
              <c:f>'OPORTUNIDADES DE MEJORA'!$D$17:$D$118</c:f>
              <c:numCache/>
            </c:numRef>
          </c:val>
        </c:ser>
        <c:ser>
          <c:idx val="1"/>
          <c:order val="1"/>
          <c:tx>
            <c:v>NUEVO GASTO MENSUAL</c:v>
          </c:tx>
          <c:spPr>
            <a:solidFill>
              <a:srgbClr val="0070C0"/>
            </a:solidFill>
            <a:ln cmpd="sng">
              <a:noFill/>
            </a:ln>
          </c:spPr>
          <c:cat>
            <c:strRef>
              <c:f>'OPORTUNIDADES DE MEJORA'!$B$17:$B$118</c:f>
            </c:strRef>
          </c:cat>
          <c:val>
            <c:numRef>
              <c:f>'OPORTUNIDADES DE MEJORA'!$E$17:$E$118</c:f>
              <c:numCache/>
            </c:numRef>
          </c:val>
        </c:ser>
        <c:axId val="1679692238"/>
        <c:axId val="1860654426"/>
      </c:barChart>
      <c:catAx>
        <c:axId val="16796922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60654426"/>
      </c:catAx>
      <c:valAx>
        <c:axId val="18606544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79692238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29</xdr:row>
      <xdr:rowOff>142875</xdr:rowOff>
    </xdr:from>
    <xdr:ext cx="3057525" cy="25908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180975</xdr:colOff>
      <xdr:row>29</xdr:row>
      <xdr:rowOff>142875</xdr:rowOff>
    </xdr:from>
    <xdr:ext cx="3248025" cy="26003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114300</xdr:colOff>
      <xdr:row>47</xdr:row>
      <xdr:rowOff>95250</xdr:rowOff>
    </xdr:from>
    <xdr:ext cx="1847850" cy="14573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342900</xdr:colOff>
      <xdr:row>47</xdr:row>
      <xdr:rowOff>95250</xdr:rowOff>
    </xdr:from>
    <xdr:ext cx="1895475" cy="14573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685800</xdr:colOff>
      <xdr:row>49</xdr:row>
      <xdr:rowOff>95250</xdr:rowOff>
    </xdr:from>
    <xdr:ext cx="714375" cy="361950"/>
    <xdr:sp>
      <xdr:nvSpPr>
        <xdr:cNvPr id="3" name="Shape 3"/>
        <xdr:cNvSpPr/>
      </xdr:nvSpPr>
      <xdr:spPr>
        <a:xfrm>
          <a:off x="5109096" y="3608600"/>
          <a:ext cx="6924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800" cap="none">
              <a:solidFill>
                <a:schemeClr val="dk1"/>
              </a:solidFill>
            </a:rPr>
            <a:t>TIPOS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800" cap="none">
              <a:solidFill>
                <a:schemeClr val="dk1"/>
              </a:solidFill>
            </a:rPr>
            <a:t>GASTO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49</xdr:row>
      <xdr:rowOff>171450</xdr:rowOff>
    </xdr:from>
    <xdr:ext cx="723900" cy="361950"/>
    <xdr:sp>
      <xdr:nvSpPr>
        <xdr:cNvPr id="4" name="Shape 4"/>
        <xdr:cNvSpPr/>
      </xdr:nvSpPr>
      <xdr:spPr>
        <a:xfrm>
          <a:off x="5064877" y="3608600"/>
          <a:ext cx="7065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800" cap="none">
              <a:solidFill>
                <a:schemeClr val="dk1"/>
              </a:solidFill>
            </a:rPr>
            <a:t>TIPOS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800" cap="none">
              <a:solidFill>
                <a:schemeClr val="dk1"/>
              </a:solidFill>
            </a:rPr>
            <a:t>INGRESO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15</xdr:row>
      <xdr:rowOff>9525</xdr:rowOff>
    </xdr:from>
    <xdr:ext cx="4867275" cy="49339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4.0"/>
    <col customWidth="1" min="3" max="4" width="11.43"/>
    <col customWidth="1" min="5" max="5" width="14.14"/>
    <col customWidth="1" min="6" max="6" width="12.0"/>
    <col customWidth="1" min="7" max="7" width="13.0"/>
    <col customWidth="1" min="8" max="8" width="27.0"/>
    <col customWidth="1" min="9" max="9" width="17.14"/>
    <col customWidth="1" min="10" max="10" width="12.57"/>
    <col customWidth="1" min="11" max="11" width="16.86"/>
    <col customWidth="1" min="12" max="12" width="12.0"/>
    <col customWidth="1" min="13" max="13" width="8.0"/>
    <col customWidth="1" min="14" max="42" width="11.43"/>
    <col customWidth="1" hidden="1" min="43" max="48" width="11.43"/>
    <col customWidth="1" hidden="1" min="49" max="49" width="12.0"/>
    <col customWidth="1" hidden="1" min="50" max="52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>
      <c r="A3" s="3"/>
      <c r="B3" s="4" t="s">
        <v>0</v>
      </c>
      <c r="C3" s="5">
        <v>500000.0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>
      <c r="A4" s="1"/>
      <c r="B4" s="7"/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>
      <c r="A5" s="1"/>
      <c r="B5" s="8" t="s">
        <v>1</v>
      </c>
      <c r="C5" s="9"/>
      <c r="D5" s="9"/>
      <c r="E5" s="9"/>
      <c r="F5" s="10"/>
      <c r="G5" s="1"/>
      <c r="H5" s="8" t="s">
        <v>2</v>
      </c>
      <c r="I5" s="9"/>
      <c r="J5" s="9"/>
      <c r="K5" s="9"/>
      <c r="L5" s="10"/>
      <c r="M5" s="1"/>
      <c r="N5" s="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>
      <c r="A6" s="1"/>
      <c r="B6" s="11" t="s">
        <v>3</v>
      </c>
      <c r="C6" s="12" t="s">
        <v>4</v>
      </c>
      <c r="D6" s="12" t="s">
        <v>5</v>
      </c>
      <c r="E6" s="12" t="s">
        <v>6</v>
      </c>
      <c r="F6" s="13" t="s">
        <v>7</v>
      </c>
      <c r="G6" s="1"/>
      <c r="H6" s="11" t="s">
        <v>8</v>
      </c>
      <c r="I6" s="12" t="s">
        <v>9</v>
      </c>
      <c r="J6" s="12" t="s">
        <v>5</v>
      </c>
      <c r="K6" s="12" t="s">
        <v>6</v>
      </c>
      <c r="L6" s="13" t="s">
        <v>7</v>
      </c>
      <c r="M6" s="1"/>
      <c r="N6" s="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>
        <f>LOOKUP(1000000,AQ:AQ)</f>
        <v>6</v>
      </c>
      <c r="AT6" s="1"/>
      <c r="AU6" s="1"/>
      <c r="AV6" s="1"/>
      <c r="AW6" s="1"/>
      <c r="AX6" s="1"/>
      <c r="AY6" s="1"/>
      <c r="AZ6" s="1"/>
    </row>
    <row r="7">
      <c r="A7" s="1"/>
      <c r="B7" s="14" t="s">
        <v>10</v>
      </c>
      <c r="C7" s="15" t="s">
        <v>11</v>
      </c>
      <c r="D7" s="15" t="s">
        <v>12</v>
      </c>
      <c r="E7" s="15" t="s">
        <v>10</v>
      </c>
      <c r="F7" s="16">
        <v>4000000.0</v>
      </c>
      <c r="G7" s="17"/>
      <c r="H7" s="14" t="s">
        <v>13</v>
      </c>
      <c r="I7" s="15" t="s">
        <v>14</v>
      </c>
      <c r="J7" s="15" t="s">
        <v>12</v>
      </c>
      <c r="K7" s="15" t="s">
        <v>15</v>
      </c>
      <c r="L7" s="18">
        <v>1700000.0</v>
      </c>
      <c r="M7" s="1"/>
      <c r="N7" s="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>
        <f t="shared" ref="AQ7:AQ103" si="1">IF(AR7&lt;&gt;0,AQ6+1,"")</f>
        <v>1</v>
      </c>
      <c r="AR7" s="1" t="str">
        <f t="shared" ref="AR7:AR103" si="2">B7</f>
        <v>Salario</v>
      </c>
      <c r="AS7" s="1">
        <f t="shared" ref="AS7:AS103" si="3">IF(AT7&lt;&gt;0,AS6+1,"")</f>
        <v>7</v>
      </c>
      <c r="AT7" s="1" t="str">
        <f t="shared" ref="AT7:AT103" si="4">H7</f>
        <v>Arriendo</v>
      </c>
      <c r="AU7" s="1" t="str">
        <f t="shared" ref="AU7:AU103" si="5">C7</f>
        <v>Fijo</v>
      </c>
      <c r="AV7" s="1" t="str">
        <f t="shared" ref="AV7:AV103" si="6">E7</f>
        <v>Salario</v>
      </c>
      <c r="AW7" s="17">
        <f t="shared" ref="AW7:AW103" si="7">IF(D7="Mensual",F7,IF(D7="Bimensual",F7/2,IF(D7="Trimestral",F7/3,IF(D7="Semestral",F7/6,IF(D7="Anual",F7/12,"")))))</f>
        <v>4000000</v>
      </c>
      <c r="AX7" s="1" t="str">
        <f t="shared" ref="AX7:AX103" si="8">I7</f>
        <v>Necesario</v>
      </c>
      <c r="AY7" s="1" t="str">
        <f t="shared" ref="AY7:AY103" si="9">K7</f>
        <v>Hogar</v>
      </c>
      <c r="AZ7" s="17">
        <f t="shared" ref="AZ7:AZ103" si="10">IF(J7="Mensual",L7,IF(J7="Bimensual",L7/2,IF(J7="Trimestral",L7/3,IF(J7="Semestral",L7/6,IF(J7="Anual",L7/12,"")))))</f>
        <v>1700000</v>
      </c>
    </row>
    <row r="8">
      <c r="A8" s="1"/>
      <c r="B8" s="14" t="s">
        <v>16</v>
      </c>
      <c r="C8" s="19" t="s">
        <v>11</v>
      </c>
      <c r="D8" s="15" t="s">
        <v>17</v>
      </c>
      <c r="E8" s="15" t="s">
        <v>18</v>
      </c>
      <c r="F8" s="16">
        <v>2000000.0</v>
      </c>
      <c r="G8" s="17"/>
      <c r="H8" s="14" t="s">
        <v>19</v>
      </c>
      <c r="I8" s="15" t="s">
        <v>14</v>
      </c>
      <c r="J8" s="15" t="s">
        <v>12</v>
      </c>
      <c r="K8" s="15" t="s">
        <v>15</v>
      </c>
      <c r="L8" s="16">
        <v>150000.0</v>
      </c>
      <c r="M8" s="1"/>
      <c r="N8" s="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>
        <f t="shared" si="1"/>
        <v>2</v>
      </c>
      <c r="AR8" s="1" t="str">
        <f t="shared" si="2"/>
        <v>Prima salario</v>
      </c>
      <c r="AS8" s="1">
        <f t="shared" si="3"/>
        <v>8</v>
      </c>
      <c r="AT8" s="1" t="str">
        <f t="shared" si="4"/>
        <v>Administración</v>
      </c>
      <c r="AU8" s="1" t="str">
        <f t="shared" si="5"/>
        <v>Fijo</v>
      </c>
      <c r="AV8" s="1" t="str">
        <f t="shared" si="6"/>
        <v>Otros ingresos</v>
      </c>
      <c r="AW8" s="17">
        <f t="shared" si="7"/>
        <v>333333.3333</v>
      </c>
      <c r="AX8" s="1" t="str">
        <f t="shared" si="8"/>
        <v>Necesario</v>
      </c>
      <c r="AY8" s="1" t="str">
        <f t="shared" si="9"/>
        <v>Hogar</v>
      </c>
      <c r="AZ8" s="17">
        <f t="shared" si="10"/>
        <v>150000</v>
      </c>
    </row>
    <row r="9">
      <c r="A9" s="1"/>
      <c r="B9" s="20" t="s">
        <v>20</v>
      </c>
      <c r="C9" s="15" t="s">
        <v>21</v>
      </c>
      <c r="D9" s="15" t="s">
        <v>22</v>
      </c>
      <c r="E9" s="15" t="s">
        <v>23</v>
      </c>
      <c r="F9" s="18">
        <v>3500000.0</v>
      </c>
      <c r="G9" s="17"/>
      <c r="H9" s="14" t="s">
        <v>24</v>
      </c>
      <c r="I9" s="15" t="s">
        <v>14</v>
      </c>
      <c r="J9" s="15" t="s">
        <v>12</v>
      </c>
      <c r="K9" s="15" t="s">
        <v>25</v>
      </c>
      <c r="L9" s="16">
        <v>500000.0</v>
      </c>
      <c r="M9" s="1"/>
      <c r="N9" s="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>
        <f t="shared" si="1"/>
        <v>3</v>
      </c>
      <c r="AR9" s="1" t="str">
        <f t="shared" si="2"/>
        <v>Proyectos asesorias</v>
      </c>
      <c r="AS9" s="1">
        <f t="shared" si="3"/>
        <v>9</v>
      </c>
      <c r="AT9" s="1" t="str">
        <f t="shared" si="4"/>
        <v>Mercado</v>
      </c>
      <c r="AU9" s="1" t="str">
        <f t="shared" si="5"/>
        <v>Variable</v>
      </c>
      <c r="AV9" s="1" t="str">
        <f t="shared" si="6"/>
        <v>Negocio</v>
      </c>
      <c r="AW9" s="17">
        <f t="shared" si="7"/>
        <v>1166666.667</v>
      </c>
      <c r="AX9" s="1" t="str">
        <f t="shared" si="8"/>
        <v>Necesario</v>
      </c>
      <c r="AY9" s="1" t="str">
        <f t="shared" si="9"/>
        <v>Alimentación</v>
      </c>
      <c r="AZ9" s="17">
        <f t="shared" si="10"/>
        <v>500000</v>
      </c>
    </row>
    <row r="10">
      <c r="A10" s="1"/>
      <c r="B10" s="14" t="s">
        <v>26</v>
      </c>
      <c r="C10" s="15" t="s">
        <v>21</v>
      </c>
      <c r="D10" s="15" t="s">
        <v>27</v>
      </c>
      <c r="E10" s="15" t="s">
        <v>28</v>
      </c>
      <c r="F10" s="16">
        <v>2000000.0</v>
      </c>
      <c r="G10" s="21"/>
      <c r="H10" s="14" t="s">
        <v>29</v>
      </c>
      <c r="I10" s="15" t="s">
        <v>14</v>
      </c>
      <c r="J10" s="15" t="s">
        <v>30</v>
      </c>
      <c r="K10" s="15" t="s">
        <v>15</v>
      </c>
      <c r="L10" s="18">
        <v>150000.0</v>
      </c>
      <c r="M10" s="1"/>
      <c r="N10" s="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>
        <f t="shared" si="1"/>
        <v>4</v>
      </c>
      <c r="AR10" s="1" t="str">
        <f t="shared" si="2"/>
        <v>Dividendos inversiones</v>
      </c>
      <c r="AS10" s="1">
        <f t="shared" si="3"/>
        <v>10</v>
      </c>
      <c r="AT10" s="1" t="str">
        <f t="shared" si="4"/>
        <v>Agua</v>
      </c>
      <c r="AU10" s="1" t="str">
        <f t="shared" si="5"/>
        <v>Variable</v>
      </c>
      <c r="AV10" s="1" t="str">
        <f t="shared" si="6"/>
        <v>Inversión</v>
      </c>
      <c r="AW10" s="17">
        <f t="shared" si="7"/>
        <v>166666.6667</v>
      </c>
      <c r="AX10" s="1" t="str">
        <f t="shared" si="8"/>
        <v>Necesario</v>
      </c>
      <c r="AY10" s="1" t="str">
        <f t="shared" si="9"/>
        <v>Hogar</v>
      </c>
      <c r="AZ10" s="1">
        <f t="shared" si="10"/>
        <v>75000</v>
      </c>
    </row>
    <row r="11">
      <c r="A11" s="1"/>
      <c r="B11" s="14" t="s">
        <v>31</v>
      </c>
      <c r="C11" s="15" t="s">
        <v>21</v>
      </c>
      <c r="D11" s="19" t="s">
        <v>22</v>
      </c>
      <c r="E11" s="15" t="s">
        <v>18</v>
      </c>
      <c r="F11" s="18">
        <v>2500000.0</v>
      </c>
      <c r="G11" s="17"/>
      <c r="H11" s="14" t="s">
        <v>32</v>
      </c>
      <c r="I11" s="15" t="s">
        <v>14</v>
      </c>
      <c r="J11" s="15" t="s">
        <v>12</v>
      </c>
      <c r="K11" s="15" t="s">
        <v>15</v>
      </c>
      <c r="L11" s="16">
        <v>120000.0</v>
      </c>
      <c r="M11" s="1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>
        <f t="shared" si="1"/>
        <v>5</v>
      </c>
      <c r="AR11" s="1" t="str">
        <f t="shared" si="2"/>
        <v>Bonos adicionales</v>
      </c>
      <c r="AS11" s="1">
        <f t="shared" si="3"/>
        <v>11</v>
      </c>
      <c r="AT11" s="1" t="str">
        <f t="shared" si="4"/>
        <v>Luz</v>
      </c>
      <c r="AU11" s="1" t="str">
        <f t="shared" si="5"/>
        <v>Variable</v>
      </c>
      <c r="AV11" s="1" t="str">
        <f t="shared" si="6"/>
        <v>Otros ingresos</v>
      </c>
      <c r="AW11" s="17">
        <f t="shared" si="7"/>
        <v>833333.3333</v>
      </c>
      <c r="AX11" s="1" t="str">
        <f t="shared" si="8"/>
        <v>Necesario</v>
      </c>
      <c r="AY11" s="1" t="str">
        <f t="shared" si="9"/>
        <v>Hogar</v>
      </c>
      <c r="AZ11" s="17">
        <f t="shared" si="10"/>
        <v>120000</v>
      </c>
    </row>
    <row r="12">
      <c r="A12" s="1"/>
      <c r="B12" s="14" t="s">
        <v>33</v>
      </c>
      <c r="C12" s="15" t="s">
        <v>21</v>
      </c>
      <c r="D12" s="15" t="s">
        <v>12</v>
      </c>
      <c r="E12" s="15" t="s">
        <v>18</v>
      </c>
      <c r="F12" s="18">
        <v>700000.0</v>
      </c>
      <c r="G12" s="17"/>
      <c r="H12" s="14" t="s">
        <v>34</v>
      </c>
      <c r="I12" s="15" t="s">
        <v>14</v>
      </c>
      <c r="J12" s="15" t="s">
        <v>12</v>
      </c>
      <c r="K12" s="15" t="s">
        <v>15</v>
      </c>
      <c r="L12" s="18">
        <v>40000.0</v>
      </c>
      <c r="M12" s="1"/>
      <c r="N12" s="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>
        <f t="shared" si="1"/>
        <v>6</v>
      </c>
      <c r="AR12" s="1" t="str">
        <f t="shared" si="2"/>
        <v>Otro</v>
      </c>
      <c r="AS12" s="1">
        <f t="shared" si="3"/>
        <v>12</v>
      </c>
      <c r="AT12" s="1" t="str">
        <f t="shared" si="4"/>
        <v>Gas</v>
      </c>
      <c r="AU12" s="1" t="str">
        <f t="shared" si="5"/>
        <v>Variable</v>
      </c>
      <c r="AV12" s="1" t="str">
        <f t="shared" si="6"/>
        <v>Otros ingresos</v>
      </c>
      <c r="AW12" s="17">
        <f t="shared" si="7"/>
        <v>700000</v>
      </c>
      <c r="AX12" s="1" t="str">
        <f t="shared" si="8"/>
        <v>Necesario</v>
      </c>
      <c r="AY12" s="1" t="str">
        <f t="shared" si="9"/>
        <v>Hogar</v>
      </c>
      <c r="AZ12" s="17">
        <f t="shared" si="10"/>
        <v>40000</v>
      </c>
    </row>
    <row r="13">
      <c r="A13" s="1"/>
      <c r="B13" s="14"/>
      <c r="C13" s="15"/>
      <c r="D13" s="15"/>
      <c r="E13" s="15"/>
      <c r="F13" s="16"/>
      <c r="G13" s="1"/>
      <c r="H13" s="20" t="s">
        <v>35</v>
      </c>
      <c r="I13" s="19" t="s">
        <v>14</v>
      </c>
      <c r="J13" s="15" t="s">
        <v>12</v>
      </c>
      <c r="K13" s="19" t="s">
        <v>36</v>
      </c>
      <c r="L13" s="18">
        <v>200000.0</v>
      </c>
      <c r="M13" s="1"/>
      <c r="N13" s="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 t="str">
        <f t="shared" si="1"/>
        <v/>
      </c>
      <c r="AR13" s="1" t="str">
        <f t="shared" si="2"/>
        <v/>
      </c>
      <c r="AS13" s="1">
        <f t="shared" si="3"/>
        <v>13</v>
      </c>
      <c r="AT13" s="1" t="str">
        <f t="shared" si="4"/>
        <v>Provisiones pagos</v>
      </c>
      <c r="AU13" s="1" t="str">
        <f t="shared" si="5"/>
        <v/>
      </c>
      <c r="AV13" s="1" t="str">
        <f t="shared" si="6"/>
        <v/>
      </c>
      <c r="AW13" s="17" t="str">
        <f t="shared" si="7"/>
        <v/>
      </c>
      <c r="AX13" s="1" t="str">
        <f t="shared" si="8"/>
        <v>Necesario</v>
      </c>
      <c r="AY13" s="1" t="str">
        <f t="shared" si="9"/>
        <v>Provisiones</v>
      </c>
      <c r="AZ13" s="17">
        <f t="shared" si="10"/>
        <v>200000</v>
      </c>
    </row>
    <row r="14">
      <c r="A14" s="1"/>
      <c r="B14" s="14"/>
      <c r="C14" s="15"/>
      <c r="D14" s="15"/>
      <c r="E14" s="15"/>
      <c r="F14" s="16"/>
      <c r="G14" s="1"/>
      <c r="H14" s="14" t="s">
        <v>37</v>
      </c>
      <c r="I14" s="19" t="s">
        <v>38</v>
      </c>
      <c r="J14" s="15" t="s">
        <v>12</v>
      </c>
      <c r="K14" s="15" t="s">
        <v>39</v>
      </c>
      <c r="L14" s="18">
        <v>80000.0</v>
      </c>
      <c r="M14" s="1"/>
      <c r="N14" s="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str">
        <f t="shared" si="1"/>
        <v/>
      </c>
      <c r="AR14" s="1" t="str">
        <f t="shared" si="2"/>
        <v/>
      </c>
      <c r="AS14" s="1">
        <f t="shared" si="3"/>
        <v>14</v>
      </c>
      <c r="AT14" s="1" t="str">
        <f t="shared" si="4"/>
        <v>Plan de datos</v>
      </c>
      <c r="AU14" s="1" t="str">
        <f t="shared" si="5"/>
        <v/>
      </c>
      <c r="AV14" s="1" t="str">
        <f t="shared" si="6"/>
        <v/>
      </c>
      <c r="AW14" s="17" t="str">
        <f t="shared" si="7"/>
        <v/>
      </c>
      <c r="AX14" s="1" t="str">
        <f t="shared" si="8"/>
        <v>No tan necesario</v>
      </c>
      <c r="AY14" s="1" t="str">
        <f t="shared" si="9"/>
        <v>Otros gastos</v>
      </c>
      <c r="AZ14" s="17">
        <f t="shared" si="10"/>
        <v>80000</v>
      </c>
    </row>
    <row r="15">
      <c r="A15" s="1"/>
      <c r="B15" s="14"/>
      <c r="C15" s="15"/>
      <c r="D15" s="15"/>
      <c r="E15" s="15"/>
      <c r="F15" s="16"/>
      <c r="G15" s="1"/>
      <c r="H15" s="14" t="s">
        <v>40</v>
      </c>
      <c r="I15" s="15" t="s">
        <v>14</v>
      </c>
      <c r="J15" s="15" t="s">
        <v>12</v>
      </c>
      <c r="K15" s="15" t="s">
        <v>41</v>
      </c>
      <c r="L15" s="18">
        <v>150000.0</v>
      </c>
      <c r="M15" s="1"/>
      <c r="N15" s="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str">
        <f t="shared" si="1"/>
        <v/>
      </c>
      <c r="AR15" s="1" t="str">
        <f t="shared" si="2"/>
        <v/>
      </c>
      <c r="AS15" s="1">
        <f t="shared" si="3"/>
        <v>15</v>
      </c>
      <c r="AT15" s="1" t="str">
        <f t="shared" si="4"/>
        <v>Gasolina</v>
      </c>
      <c r="AU15" s="1" t="str">
        <f t="shared" si="5"/>
        <v/>
      </c>
      <c r="AV15" s="1" t="str">
        <f t="shared" si="6"/>
        <v/>
      </c>
      <c r="AW15" s="17" t="str">
        <f t="shared" si="7"/>
        <v/>
      </c>
      <c r="AX15" s="1" t="str">
        <f t="shared" si="8"/>
        <v>Necesario</v>
      </c>
      <c r="AY15" s="1" t="str">
        <f t="shared" si="9"/>
        <v>Transporte</v>
      </c>
      <c r="AZ15" s="17">
        <f t="shared" si="10"/>
        <v>150000</v>
      </c>
    </row>
    <row r="16">
      <c r="A16" s="1"/>
      <c r="B16" s="14"/>
      <c r="C16" s="15"/>
      <c r="D16" s="15"/>
      <c r="E16" s="15"/>
      <c r="F16" s="16"/>
      <c r="G16" s="1"/>
      <c r="H16" s="14" t="s">
        <v>42</v>
      </c>
      <c r="I16" s="15" t="s">
        <v>14</v>
      </c>
      <c r="J16" s="15" t="s">
        <v>22</v>
      </c>
      <c r="K16" s="15" t="s">
        <v>41</v>
      </c>
      <c r="L16" s="18">
        <v>500000.0</v>
      </c>
      <c r="M16" s="1"/>
      <c r="N16" s="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str">
        <f t="shared" si="1"/>
        <v/>
      </c>
      <c r="AR16" s="1" t="str">
        <f t="shared" si="2"/>
        <v/>
      </c>
      <c r="AS16" s="1">
        <f t="shared" si="3"/>
        <v>16</v>
      </c>
      <c r="AT16" s="1" t="str">
        <f t="shared" si="4"/>
        <v>Mantenimiento carro</v>
      </c>
      <c r="AU16" s="1" t="str">
        <f t="shared" si="5"/>
        <v/>
      </c>
      <c r="AV16" s="1" t="str">
        <f t="shared" si="6"/>
        <v/>
      </c>
      <c r="AW16" s="17" t="str">
        <f t="shared" si="7"/>
        <v/>
      </c>
      <c r="AX16" s="1" t="str">
        <f t="shared" si="8"/>
        <v>Necesario</v>
      </c>
      <c r="AY16" s="1" t="str">
        <f t="shared" si="9"/>
        <v>Transporte</v>
      </c>
      <c r="AZ16" s="1">
        <f t="shared" si="10"/>
        <v>166666.6667</v>
      </c>
    </row>
    <row r="17">
      <c r="A17" s="1"/>
      <c r="B17" s="14"/>
      <c r="C17" s="15"/>
      <c r="D17" s="15"/>
      <c r="E17" s="15"/>
      <c r="F17" s="16"/>
      <c r="G17" s="1"/>
      <c r="H17" s="14" t="s">
        <v>43</v>
      </c>
      <c r="I17" s="19" t="s">
        <v>38</v>
      </c>
      <c r="J17" s="15" t="s">
        <v>27</v>
      </c>
      <c r="K17" s="15" t="s">
        <v>41</v>
      </c>
      <c r="L17" s="18">
        <v>1000000.0</v>
      </c>
      <c r="M17" s="1"/>
      <c r="N17" s="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str">
        <f t="shared" si="1"/>
        <v/>
      </c>
      <c r="AR17" s="1" t="str">
        <f t="shared" si="2"/>
        <v/>
      </c>
      <c r="AS17" s="1">
        <f t="shared" si="3"/>
        <v>17</v>
      </c>
      <c r="AT17" s="1" t="str">
        <f t="shared" si="4"/>
        <v>Seguro carro</v>
      </c>
      <c r="AU17" s="1" t="str">
        <f t="shared" si="5"/>
        <v/>
      </c>
      <c r="AV17" s="1" t="str">
        <f t="shared" si="6"/>
        <v/>
      </c>
      <c r="AW17" s="17" t="str">
        <f t="shared" si="7"/>
        <v/>
      </c>
      <c r="AX17" s="1" t="str">
        <f t="shared" si="8"/>
        <v>No tan necesario</v>
      </c>
      <c r="AY17" s="1" t="str">
        <f t="shared" si="9"/>
        <v>Transporte</v>
      </c>
      <c r="AZ17" s="1">
        <f t="shared" si="10"/>
        <v>83333.33333</v>
      </c>
    </row>
    <row r="18">
      <c r="A18" s="1"/>
      <c r="B18" s="14"/>
      <c r="C18" s="15"/>
      <c r="D18" s="15"/>
      <c r="E18" s="15"/>
      <c r="F18" s="16"/>
      <c r="G18" s="1"/>
      <c r="H18" s="14" t="s">
        <v>44</v>
      </c>
      <c r="I18" s="19" t="s">
        <v>38</v>
      </c>
      <c r="J18" s="15" t="s">
        <v>27</v>
      </c>
      <c r="K18" s="15" t="s">
        <v>39</v>
      </c>
      <c r="L18" s="18">
        <v>900000.0</v>
      </c>
      <c r="M18" s="1"/>
      <c r="N18" s="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 t="str">
        <f t="shared" si="1"/>
        <v/>
      </c>
      <c r="AR18" s="1" t="str">
        <f t="shared" si="2"/>
        <v/>
      </c>
      <c r="AS18" s="1">
        <f t="shared" si="3"/>
        <v>18</v>
      </c>
      <c r="AT18" s="1" t="str">
        <f t="shared" si="4"/>
        <v>Gimnasio</v>
      </c>
      <c r="AU18" s="1" t="str">
        <f t="shared" si="5"/>
        <v/>
      </c>
      <c r="AV18" s="1" t="str">
        <f t="shared" si="6"/>
        <v/>
      </c>
      <c r="AW18" s="17" t="str">
        <f t="shared" si="7"/>
        <v/>
      </c>
      <c r="AX18" s="1" t="str">
        <f t="shared" si="8"/>
        <v>No tan necesario</v>
      </c>
      <c r="AY18" s="1" t="str">
        <f t="shared" si="9"/>
        <v>Otros gastos</v>
      </c>
      <c r="AZ18" s="1">
        <f t="shared" si="10"/>
        <v>75000</v>
      </c>
    </row>
    <row r="19">
      <c r="A19" s="1"/>
      <c r="B19" s="14"/>
      <c r="C19" s="15"/>
      <c r="D19" s="15"/>
      <c r="E19" s="15"/>
      <c r="F19" s="16"/>
      <c r="G19" s="1"/>
      <c r="H19" s="14" t="s">
        <v>45</v>
      </c>
      <c r="I19" s="15" t="s">
        <v>46</v>
      </c>
      <c r="J19" s="15" t="s">
        <v>12</v>
      </c>
      <c r="K19" s="15" t="s">
        <v>47</v>
      </c>
      <c r="L19" s="18">
        <v>120000.0</v>
      </c>
      <c r="M19" s="1"/>
      <c r="N19" s="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str">
        <f t="shared" si="1"/>
        <v/>
      </c>
      <c r="AR19" s="1" t="str">
        <f t="shared" si="2"/>
        <v/>
      </c>
      <c r="AS19" s="1">
        <f t="shared" si="3"/>
        <v>19</v>
      </c>
      <c r="AT19" s="1" t="str">
        <f t="shared" si="4"/>
        <v>Internet y telefono</v>
      </c>
      <c r="AU19" s="1" t="str">
        <f t="shared" si="5"/>
        <v/>
      </c>
      <c r="AV19" s="1" t="str">
        <f t="shared" si="6"/>
        <v/>
      </c>
      <c r="AW19" s="17" t="str">
        <f t="shared" si="7"/>
        <v/>
      </c>
      <c r="AX19" s="1" t="str">
        <f t="shared" si="8"/>
        <v>No necesario</v>
      </c>
      <c r="AY19" s="1" t="str">
        <f t="shared" si="9"/>
        <v>Familia</v>
      </c>
      <c r="AZ19" s="17">
        <f t="shared" si="10"/>
        <v>120000</v>
      </c>
    </row>
    <row r="20">
      <c r="A20" s="1"/>
      <c r="B20" s="14"/>
      <c r="C20" s="15"/>
      <c r="D20" s="15"/>
      <c r="E20" s="15"/>
      <c r="F20" s="16"/>
      <c r="G20" s="1"/>
      <c r="H20" s="14" t="s">
        <v>48</v>
      </c>
      <c r="I20" s="19" t="s">
        <v>38</v>
      </c>
      <c r="J20" s="15" t="s">
        <v>12</v>
      </c>
      <c r="K20" s="15" t="s">
        <v>47</v>
      </c>
      <c r="L20" s="18">
        <v>120000.0</v>
      </c>
      <c r="M20" s="1"/>
      <c r="N20" s="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 t="str">
        <f t="shared" si="1"/>
        <v/>
      </c>
      <c r="AR20" s="1" t="str">
        <f t="shared" si="2"/>
        <v/>
      </c>
      <c r="AS20" s="1">
        <f t="shared" si="3"/>
        <v>20</v>
      </c>
      <c r="AT20" s="1" t="str">
        <f t="shared" si="4"/>
        <v>Streaming (Netflix, spotify…)</v>
      </c>
      <c r="AU20" s="1" t="str">
        <f t="shared" si="5"/>
        <v/>
      </c>
      <c r="AV20" s="1" t="str">
        <f t="shared" si="6"/>
        <v/>
      </c>
      <c r="AW20" s="17" t="str">
        <f t="shared" si="7"/>
        <v/>
      </c>
      <c r="AX20" s="1" t="str">
        <f t="shared" si="8"/>
        <v>No tan necesario</v>
      </c>
      <c r="AY20" s="1" t="str">
        <f t="shared" si="9"/>
        <v>Familia</v>
      </c>
      <c r="AZ20" s="17">
        <f t="shared" si="10"/>
        <v>120000</v>
      </c>
    </row>
    <row r="21" ht="15.75" customHeight="1">
      <c r="A21" s="1"/>
      <c r="B21" s="14"/>
      <c r="C21" s="15"/>
      <c r="D21" s="15"/>
      <c r="E21" s="15"/>
      <c r="F21" s="16"/>
      <c r="G21" s="1"/>
      <c r="H21" s="14" t="s">
        <v>49</v>
      </c>
      <c r="I21" s="19" t="s">
        <v>38</v>
      </c>
      <c r="J21" s="15" t="s">
        <v>12</v>
      </c>
      <c r="K21" s="15" t="s">
        <v>41</v>
      </c>
      <c r="L21" s="18">
        <v>140000.0</v>
      </c>
      <c r="M21" s="1"/>
      <c r="N21" s="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str">
        <f t="shared" si="1"/>
        <v/>
      </c>
      <c r="AR21" s="1" t="str">
        <f t="shared" si="2"/>
        <v/>
      </c>
      <c r="AS21" s="1">
        <f t="shared" si="3"/>
        <v>21</v>
      </c>
      <c r="AT21" s="1" t="str">
        <f t="shared" si="4"/>
        <v>Taxi/Uber/Bus</v>
      </c>
      <c r="AU21" s="1" t="str">
        <f t="shared" si="5"/>
        <v/>
      </c>
      <c r="AV21" s="1" t="str">
        <f t="shared" si="6"/>
        <v/>
      </c>
      <c r="AW21" s="17" t="str">
        <f t="shared" si="7"/>
        <v/>
      </c>
      <c r="AX21" s="1" t="str">
        <f t="shared" si="8"/>
        <v>No tan necesario</v>
      </c>
      <c r="AY21" s="1" t="str">
        <f t="shared" si="9"/>
        <v>Transporte</v>
      </c>
      <c r="AZ21" s="17">
        <f t="shared" si="10"/>
        <v>140000</v>
      </c>
    </row>
    <row r="22" ht="15.75" customHeight="1">
      <c r="A22" s="1"/>
      <c r="B22" s="14"/>
      <c r="C22" s="15"/>
      <c r="D22" s="15"/>
      <c r="E22" s="15"/>
      <c r="F22" s="16"/>
      <c r="G22" s="1"/>
      <c r="H22" s="14" t="s">
        <v>50</v>
      </c>
      <c r="I22" s="15" t="s">
        <v>14</v>
      </c>
      <c r="J22" s="15" t="s">
        <v>12</v>
      </c>
      <c r="K22" s="19" t="s">
        <v>51</v>
      </c>
      <c r="L22" s="18">
        <v>1200000.0</v>
      </c>
      <c r="M22" s="1"/>
      <c r="N22" s="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 t="str">
        <f t="shared" si="1"/>
        <v/>
      </c>
      <c r="AR22" s="1" t="str">
        <f t="shared" si="2"/>
        <v/>
      </c>
      <c r="AS22" s="1">
        <f t="shared" si="3"/>
        <v>22</v>
      </c>
      <c r="AT22" s="1" t="str">
        <f t="shared" si="4"/>
        <v>Crédito carro</v>
      </c>
      <c r="AU22" s="1" t="str">
        <f t="shared" si="5"/>
        <v/>
      </c>
      <c r="AV22" s="1" t="str">
        <f t="shared" si="6"/>
        <v/>
      </c>
      <c r="AW22" s="17" t="str">
        <f t="shared" si="7"/>
        <v/>
      </c>
      <c r="AX22" s="1" t="str">
        <f t="shared" si="8"/>
        <v>Necesario</v>
      </c>
      <c r="AY22" s="1" t="str">
        <f t="shared" si="9"/>
        <v>Deudas entidades</v>
      </c>
      <c r="AZ22" s="17">
        <f t="shared" si="10"/>
        <v>1200000</v>
      </c>
    </row>
    <row r="23" ht="15.75" customHeight="1">
      <c r="A23" s="1"/>
      <c r="B23" s="14"/>
      <c r="C23" s="15"/>
      <c r="D23" s="15"/>
      <c r="E23" s="15"/>
      <c r="F23" s="16"/>
      <c r="G23" s="1"/>
      <c r="H23" s="14" t="s">
        <v>52</v>
      </c>
      <c r="I23" s="19" t="s">
        <v>38</v>
      </c>
      <c r="J23" s="15" t="s">
        <v>17</v>
      </c>
      <c r="K23" s="15" t="s">
        <v>53</v>
      </c>
      <c r="L23" s="18">
        <v>4000000.0</v>
      </c>
      <c r="M23" s="1"/>
      <c r="N23" s="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 t="str">
        <f t="shared" si="1"/>
        <v/>
      </c>
      <c r="AR23" s="1" t="str">
        <f t="shared" si="2"/>
        <v/>
      </c>
      <c r="AS23" s="1">
        <f t="shared" si="3"/>
        <v>23</v>
      </c>
      <c r="AT23" s="1" t="str">
        <f t="shared" si="4"/>
        <v>Viajes</v>
      </c>
      <c r="AU23" s="1" t="str">
        <f t="shared" si="5"/>
        <v/>
      </c>
      <c r="AV23" s="1" t="str">
        <f t="shared" si="6"/>
        <v/>
      </c>
      <c r="AW23" s="17" t="str">
        <f t="shared" si="7"/>
        <v/>
      </c>
      <c r="AX23" s="1" t="str">
        <f t="shared" si="8"/>
        <v>No tan necesario</v>
      </c>
      <c r="AY23" s="1" t="str">
        <f t="shared" si="9"/>
        <v>Entretenimiento</v>
      </c>
      <c r="AZ23" s="1">
        <f t="shared" si="10"/>
        <v>666666.6667</v>
      </c>
    </row>
    <row r="24" ht="15.75" customHeight="1">
      <c r="A24" s="1"/>
      <c r="B24" s="14"/>
      <c r="C24" s="15"/>
      <c r="D24" s="15"/>
      <c r="E24" s="15"/>
      <c r="F24" s="16"/>
      <c r="G24" s="1"/>
      <c r="H24" s="14" t="s">
        <v>54</v>
      </c>
      <c r="I24" s="15" t="s">
        <v>46</v>
      </c>
      <c r="J24" s="15" t="s">
        <v>12</v>
      </c>
      <c r="K24" s="15" t="s">
        <v>53</v>
      </c>
      <c r="L24" s="18">
        <v>600000.0</v>
      </c>
      <c r="M24" s="1"/>
      <c r="N24" s="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str">
        <f t="shared" si="1"/>
        <v/>
      </c>
      <c r="AR24" s="1" t="str">
        <f t="shared" si="2"/>
        <v/>
      </c>
      <c r="AS24" s="1">
        <f t="shared" si="3"/>
        <v>24</v>
      </c>
      <c r="AT24" s="1" t="str">
        <f t="shared" si="4"/>
        <v>Restaurantes</v>
      </c>
      <c r="AU24" s="1" t="str">
        <f t="shared" si="5"/>
        <v/>
      </c>
      <c r="AV24" s="1" t="str">
        <f t="shared" si="6"/>
        <v/>
      </c>
      <c r="AW24" s="17" t="str">
        <f t="shared" si="7"/>
        <v/>
      </c>
      <c r="AX24" s="1" t="str">
        <f t="shared" si="8"/>
        <v>No necesario</v>
      </c>
      <c r="AY24" s="1" t="str">
        <f t="shared" si="9"/>
        <v>Entretenimiento</v>
      </c>
      <c r="AZ24" s="17">
        <f t="shared" si="10"/>
        <v>600000</v>
      </c>
    </row>
    <row r="25" ht="15.75" customHeight="1">
      <c r="A25" s="1"/>
      <c r="B25" s="14"/>
      <c r="C25" s="15"/>
      <c r="D25" s="15"/>
      <c r="E25" s="15"/>
      <c r="F25" s="16"/>
      <c r="G25" s="1"/>
      <c r="H25" s="14" t="s">
        <v>55</v>
      </c>
      <c r="I25" s="15" t="s">
        <v>14</v>
      </c>
      <c r="J25" s="15" t="s">
        <v>12</v>
      </c>
      <c r="K25" s="15" t="s">
        <v>47</v>
      </c>
      <c r="L25" s="18">
        <v>150000.0</v>
      </c>
      <c r="M25" s="1"/>
      <c r="N25" s="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 t="str">
        <f t="shared" si="1"/>
        <v/>
      </c>
      <c r="AR25" s="1" t="str">
        <f t="shared" si="2"/>
        <v/>
      </c>
      <c r="AS25" s="1">
        <f t="shared" si="3"/>
        <v>25</v>
      </c>
      <c r="AT25" s="1" t="str">
        <f t="shared" si="4"/>
        <v>Peluqueria perritos</v>
      </c>
      <c r="AU25" s="1" t="str">
        <f t="shared" si="5"/>
        <v/>
      </c>
      <c r="AV25" s="1" t="str">
        <f t="shared" si="6"/>
        <v/>
      </c>
      <c r="AW25" s="17" t="str">
        <f t="shared" si="7"/>
        <v/>
      </c>
      <c r="AX25" s="1" t="str">
        <f t="shared" si="8"/>
        <v>Necesario</v>
      </c>
      <c r="AY25" s="1" t="str">
        <f t="shared" si="9"/>
        <v>Familia</v>
      </c>
      <c r="AZ25" s="17">
        <f t="shared" si="10"/>
        <v>150000</v>
      </c>
    </row>
    <row r="26" ht="15.75" customHeight="1">
      <c r="A26" s="1"/>
      <c r="B26" s="14"/>
      <c r="C26" s="15"/>
      <c r="D26" s="15"/>
      <c r="E26" s="15"/>
      <c r="F26" s="16"/>
      <c r="G26" s="1"/>
      <c r="H26" s="14" t="s">
        <v>56</v>
      </c>
      <c r="I26" s="15" t="s">
        <v>14</v>
      </c>
      <c r="J26" s="15" t="s">
        <v>12</v>
      </c>
      <c r="K26" s="15" t="s">
        <v>47</v>
      </c>
      <c r="L26" s="18">
        <v>400000.0</v>
      </c>
      <c r="M26" s="1"/>
      <c r="N26" s="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str">
        <f t="shared" si="1"/>
        <v/>
      </c>
      <c r="AR26" s="1" t="str">
        <f t="shared" si="2"/>
        <v/>
      </c>
      <c r="AS26" s="1">
        <f t="shared" si="3"/>
        <v>26</v>
      </c>
      <c r="AT26" s="1" t="str">
        <f t="shared" si="4"/>
        <v>Seguro médico</v>
      </c>
      <c r="AU26" s="1" t="str">
        <f t="shared" si="5"/>
        <v/>
      </c>
      <c r="AV26" s="1" t="str">
        <f t="shared" si="6"/>
        <v/>
      </c>
      <c r="AW26" s="17" t="str">
        <f t="shared" si="7"/>
        <v/>
      </c>
      <c r="AX26" s="1" t="str">
        <f t="shared" si="8"/>
        <v>Necesario</v>
      </c>
      <c r="AY26" s="1" t="str">
        <f t="shared" si="9"/>
        <v>Familia</v>
      </c>
      <c r="AZ26" s="17">
        <f t="shared" si="10"/>
        <v>400000</v>
      </c>
    </row>
    <row r="27" ht="15.75" customHeight="1">
      <c r="A27" s="1"/>
      <c r="B27" s="14"/>
      <c r="C27" s="15"/>
      <c r="D27" s="15"/>
      <c r="E27" s="15"/>
      <c r="F27" s="16"/>
      <c r="G27" s="1"/>
      <c r="H27" s="14" t="s">
        <v>57</v>
      </c>
      <c r="I27" s="15" t="s">
        <v>46</v>
      </c>
      <c r="J27" s="15" t="s">
        <v>12</v>
      </c>
      <c r="K27" s="15" t="s">
        <v>53</v>
      </c>
      <c r="L27" s="18">
        <v>450000.0</v>
      </c>
      <c r="M27" s="1"/>
      <c r="N27" s="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 t="str">
        <f t="shared" si="1"/>
        <v/>
      </c>
      <c r="AR27" s="1" t="str">
        <f t="shared" si="2"/>
        <v/>
      </c>
      <c r="AS27" s="1">
        <f t="shared" si="3"/>
        <v>27</v>
      </c>
      <c r="AT27" s="1" t="str">
        <f t="shared" si="4"/>
        <v>Centro comercial</v>
      </c>
      <c r="AU27" s="1" t="str">
        <f t="shared" si="5"/>
        <v/>
      </c>
      <c r="AV27" s="1" t="str">
        <f t="shared" si="6"/>
        <v/>
      </c>
      <c r="AW27" s="17" t="str">
        <f t="shared" si="7"/>
        <v/>
      </c>
      <c r="AX27" s="1" t="str">
        <f t="shared" si="8"/>
        <v>No necesario</v>
      </c>
      <c r="AY27" s="1" t="str">
        <f t="shared" si="9"/>
        <v>Entretenimiento</v>
      </c>
      <c r="AZ27" s="17">
        <f t="shared" si="10"/>
        <v>450000</v>
      </c>
    </row>
    <row r="28" ht="15.75" customHeight="1">
      <c r="A28" s="1"/>
      <c r="B28" s="14"/>
      <c r="C28" s="15"/>
      <c r="D28" s="15"/>
      <c r="E28" s="15"/>
      <c r="F28" s="16"/>
      <c r="G28" s="1"/>
      <c r="H28" s="14" t="s">
        <v>58</v>
      </c>
      <c r="I28" s="15" t="s">
        <v>14</v>
      </c>
      <c r="J28" s="15" t="s">
        <v>27</v>
      </c>
      <c r="K28" s="19" t="s">
        <v>58</v>
      </c>
      <c r="L28" s="18">
        <v>1300000.0</v>
      </c>
      <c r="M28" s="1"/>
      <c r="N28" s="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str">
        <f t="shared" si="1"/>
        <v/>
      </c>
      <c r="AR28" s="1" t="str">
        <f t="shared" si="2"/>
        <v/>
      </c>
      <c r="AS28" s="1">
        <f t="shared" si="3"/>
        <v>28</v>
      </c>
      <c r="AT28" s="1" t="str">
        <f t="shared" si="4"/>
        <v>Impuestos</v>
      </c>
      <c r="AU28" s="1" t="str">
        <f t="shared" si="5"/>
        <v/>
      </c>
      <c r="AV28" s="1" t="str">
        <f t="shared" si="6"/>
        <v/>
      </c>
      <c r="AW28" s="17" t="str">
        <f t="shared" si="7"/>
        <v/>
      </c>
      <c r="AX28" s="1" t="str">
        <f t="shared" si="8"/>
        <v>Necesario</v>
      </c>
      <c r="AY28" s="1" t="str">
        <f t="shared" si="9"/>
        <v>Impuestos</v>
      </c>
      <c r="AZ28" s="1">
        <f t="shared" si="10"/>
        <v>108333.3333</v>
      </c>
    </row>
    <row r="29" ht="15.75" customHeight="1">
      <c r="A29" s="1"/>
      <c r="B29" s="14"/>
      <c r="C29" s="15"/>
      <c r="D29" s="15"/>
      <c r="E29" s="15"/>
      <c r="F29" s="16"/>
      <c r="G29" s="1"/>
      <c r="H29" s="14" t="s">
        <v>59</v>
      </c>
      <c r="I29" s="15" t="s">
        <v>46</v>
      </c>
      <c r="J29" s="15" t="s">
        <v>30</v>
      </c>
      <c r="K29" s="15" t="s">
        <v>47</v>
      </c>
      <c r="L29" s="18">
        <v>100000.0</v>
      </c>
      <c r="M29" s="1"/>
      <c r="N29" s="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str">
        <f t="shared" si="1"/>
        <v/>
      </c>
      <c r="AR29" s="1" t="str">
        <f t="shared" si="2"/>
        <v/>
      </c>
      <c r="AS29" s="1">
        <f t="shared" si="3"/>
        <v>29</v>
      </c>
      <c r="AT29" s="1" t="str">
        <f t="shared" si="4"/>
        <v>Juguetes perritos</v>
      </c>
      <c r="AU29" s="1" t="str">
        <f t="shared" si="5"/>
        <v/>
      </c>
      <c r="AV29" s="1" t="str">
        <f t="shared" si="6"/>
        <v/>
      </c>
      <c r="AW29" s="17" t="str">
        <f t="shared" si="7"/>
        <v/>
      </c>
      <c r="AX29" s="1" t="str">
        <f t="shared" si="8"/>
        <v>No necesario</v>
      </c>
      <c r="AY29" s="1" t="str">
        <f t="shared" si="9"/>
        <v>Familia</v>
      </c>
      <c r="AZ29" s="1">
        <f t="shared" si="10"/>
        <v>50000</v>
      </c>
    </row>
    <row r="30" ht="15.75" customHeight="1">
      <c r="A30" s="1"/>
      <c r="B30" s="14"/>
      <c r="C30" s="15"/>
      <c r="D30" s="15"/>
      <c r="E30" s="15"/>
      <c r="F30" s="16"/>
      <c r="G30" s="1"/>
      <c r="H30" s="14" t="s">
        <v>60</v>
      </c>
      <c r="I30" s="15" t="s">
        <v>14</v>
      </c>
      <c r="J30" s="15" t="s">
        <v>12</v>
      </c>
      <c r="K30" s="15" t="s">
        <v>39</v>
      </c>
      <c r="L30" s="18">
        <v>100000.0</v>
      </c>
      <c r="M30" s="1"/>
      <c r="N30" s="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 t="str">
        <f t="shared" si="1"/>
        <v/>
      </c>
      <c r="AR30" s="1" t="str">
        <f t="shared" si="2"/>
        <v/>
      </c>
      <c r="AS30" s="1">
        <f t="shared" si="3"/>
        <v>30</v>
      </c>
      <c r="AT30" s="1" t="str">
        <f t="shared" si="4"/>
        <v>Peluquería</v>
      </c>
      <c r="AU30" s="1" t="str">
        <f t="shared" si="5"/>
        <v/>
      </c>
      <c r="AV30" s="1" t="str">
        <f t="shared" si="6"/>
        <v/>
      </c>
      <c r="AW30" s="17" t="str">
        <f t="shared" si="7"/>
        <v/>
      </c>
      <c r="AX30" s="1" t="str">
        <f t="shared" si="8"/>
        <v>Necesario</v>
      </c>
      <c r="AY30" s="1" t="str">
        <f t="shared" si="9"/>
        <v>Otros gastos</v>
      </c>
      <c r="AZ30" s="17">
        <f t="shared" si="10"/>
        <v>100000</v>
      </c>
    </row>
    <row r="31" ht="15.75" customHeight="1">
      <c r="A31" s="1"/>
      <c r="B31" s="14"/>
      <c r="C31" s="15"/>
      <c r="D31" s="15"/>
      <c r="E31" s="15"/>
      <c r="F31" s="16"/>
      <c r="G31" s="1"/>
      <c r="H31" s="14" t="s">
        <v>61</v>
      </c>
      <c r="I31" s="15" t="s">
        <v>46</v>
      </c>
      <c r="J31" s="15" t="s">
        <v>12</v>
      </c>
      <c r="K31" s="15" t="s">
        <v>25</v>
      </c>
      <c r="L31" s="18">
        <v>400000.0</v>
      </c>
      <c r="M31" s="1"/>
      <c r="N31" s="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 t="str">
        <f t="shared" si="1"/>
        <v/>
      </c>
      <c r="AR31" s="1" t="str">
        <f t="shared" si="2"/>
        <v/>
      </c>
      <c r="AS31" s="1">
        <f t="shared" si="3"/>
        <v>31</v>
      </c>
      <c r="AT31" s="1" t="str">
        <f t="shared" si="4"/>
        <v>Domicilios</v>
      </c>
      <c r="AU31" s="1" t="str">
        <f t="shared" si="5"/>
        <v/>
      </c>
      <c r="AV31" s="1" t="str">
        <f t="shared" si="6"/>
        <v/>
      </c>
      <c r="AW31" s="17" t="str">
        <f t="shared" si="7"/>
        <v/>
      </c>
      <c r="AX31" s="1" t="str">
        <f t="shared" si="8"/>
        <v>No necesario</v>
      </c>
      <c r="AY31" s="1" t="str">
        <f t="shared" si="9"/>
        <v>Alimentación</v>
      </c>
      <c r="AZ31" s="17">
        <f t="shared" si="10"/>
        <v>400000</v>
      </c>
    </row>
    <row r="32" ht="15.75" customHeight="1">
      <c r="A32" s="1"/>
      <c r="B32" s="14"/>
      <c r="C32" s="15"/>
      <c r="D32" s="15"/>
      <c r="E32" s="15"/>
      <c r="F32" s="16"/>
      <c r="G32" s="1"/>
      <c r="H32" s="14" t="s">
        <v>62</v>
      </c>
      <c r="I32" s="19" t="s">
        <v>38</v>
      </c>
      <c r="J32" s="15" t="s">
        <v>22</v>
      </c>
      <c r="K32" s="15" t="s">
        <v>39</v>
      </c>
      <c r="L32" s="18">
        <v>1500000.0</v>
      </c>
      <c r="M32" s="1"/>
      <c r="N32" s="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str">
        <f t="shared" si="1"/>
        <v/>
      </c>
      <c r="AR32" s="1" t="str">
        <f t="shared" si="2"/>
        <v/>
      </c>
      <c r="AS32" s="1">
        <f t="shared" si="3"/>
        <v>32</v>
      </c>
      <c r="AT32" s="1" t="str">
        <f t="shared" si="4"/>
        <v>Ropa</v>
      </c>
      <c r="AU32" s="1" t="str">
        <f t="shared" si="5"/>
        <v/>
      </c>
      <c r="AV32" s="1" t="str">
        <f t="shared" si="6"/>
        <v/>
      </c>
      <c r="AW32" s="17" t="str">
        <f t="shared" si="7"/>
        <v/>
      </c>
      <c r="AX32" s="1" t="str">
        <f t="shared" si="8"/>
        <v>No tan necesario</v>
      </c>
      <c r="AY32" s="1" t="str">
        <f t="shared" si="9"/>
        <v>Otros gastos</v>
      </c>
      <c r="AZ32" s="1">
        <f t="shared" si="10"/>
        <v>500000</v>
      </c>
    </row>
    <row r="33" ht="15.75" customHeight="1">
      <c r="A33" s="1"/>
      <c r="B33" s="14"/>
      <c r="C33" s="15"/>
      <c r="D33" s="15"/>
      <c r="E33" s="15"/>
      <c r="F33" s="16"/>
      <c r="G33" s="1"/>
      <c r="H33" s="14"/>
      <c r="I33" s="15"/>
      <c r="J33" s="15"/>
      <c r="K33" s="15"/>
      <c r="L33" s="16"/>
      <c r="M33" s="1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str">
        <f t="shared" si="1"/>
        <v/>
      </c>
      <c r="AR33" s="1" t="str">
        <f t="shared" si="2"/>
        <v/>
      </c>
      <c r="AS33" s="1" t="str">
        <f t="shared" si="3"/>
        <v/>
      </c>
      <c r="AT33" s="1" t="str">
        <f t="shared" si="4"/>
        <v/>
      </c>
      <c r="AU33" s="1" t="str">
        <f t="shared" si="5"/>
        <v/>
      </c>
      <c r="AV33" s="1" t="str">
        <f t="shared" si="6"/>
        <v/>
      </c>
      <c r="AW33" s="17" t="str">
        <f t="shared" si="7"/>
        <v/>
      </c>
      <c r="AX33" s="1" t="str">
        <f t="shared" si="8"/>
        <v/>
      </c>
      <c r="AY33" s="1" t="str">
        <f t="shared" si="9"/>
        <v/>
      </c>
      <c r="AZ33" s="1" t="str">
        <f t="shared" si="10"/>
        <v/>
      </c>
    </row>
    <row r="34" ht="15.75" customHeight="1">
      <c r="A34" s="1"/>
      <c r="B34" s="14"/>
      <c r="C34" s="15"/>
      <c r="D34" s="15"/>
      <c r="E34" s="15"/>
      <c r="F34" s="16"/>
      <c r="G34" s="1"/>
      <c r="H34" s="14"/>
      <c r="I34" s="15"/>
      <c r="J34" s="15"/>
      <c r="K34" s="15"/>
      <c r="L34" s="16"/>
      <c r="M34" s="1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str">
        <f t="shared" si="1"/>
        <v/>
      </c>
      <c r="AR34" s="1" t="str">
        <f t="shared" si="2"/>
        <v/>
      </c>
      <c r="AS34" s="1" t="str">
        <f t="shared" si="3"/>
        <v/>
      </c>
      <c r="AT34" s="1" t="str">
        <f t="shared" si="4"/>
        <v/>
      </c>
      <c r="AU34" s="1" t="str">
        <f t="shared" si="5"/>
        <v/>
      </c>
      <c r="AV34" s="1" t="str">
        <f t="shared" si="6"/>
        <v/>
      </c>
      <c r="AW34" s="17" t="str">
        <f t="shared" si="7"/>
        <v/>
      </c>
      <c r="AX34" s="1" t="str">
        <f t="shared" si="8"/>
        <v/>
      </c>
      <c r="AY34" s="1" t="str">
        <f t="shared" si="9"/>
        <v/>
      </c>
      <c r="AZ34" s="1" t="str">
        <f t="shared" si="10"/>
        <v/>
      </c>
    </row>
    <row r="35" ht="15.75" customHeight="1">
      <c r="A35" s="1"/>
      <c r="B35" s="14"/>
      <c r="C35" s="15"/>
      <c r="D35" s="15"/>
      <c r="E35" s="15"/>
      <c r="F35" s="16"/>
      <c r="G35" s="1"/>
      <c r="H35" s="14"/>
      <c r="I35" s="15"/>
      <c r="J35" s="15"/>
      <c r="K35" s="15"/>
      <c r="L35" s="16"/>
      <c r="M35" s="1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str">
        <f t="shared" si="1"/>
        <v/>
      </c>
      <c r="AR35" s="1" t="str">
        <f t="shared" si="2"/>
        <v/>
      </c>
      <c r="AS35" s="1" t="str">
        <f t="shared" si="3"/>
        <v/>
      </c>
      <c r="AT35" s="1" t="str">
        <f t="shared" si="4"/>
        <v/>
      </c>
      <c r="AU35" s="1" t="str">
        <f t="shared" si="5"/>
        <v/>
      </c>
      <c r="AV35" s="1" t="str">
        <f t="shared" si="6"/>
        <v/>
      </c>
      <c r="AW35" s="17" t="str">
        <f t="shared" si="7"/>
        <v/>
      </c>
      <c r="AX35" s="1" t="str">
        <f t="shared" si="8"/>
        <v/>
      </c>
      <c r="AY35" s="1" t="str">
        <f t="shared" si="9"/>
        <v/>
      </c>
      <c r="AZ35" s="1" t="str">
        <f t="shared" si="10"/>
        <v/>
      </c>
    </row>
    <row r="36" ht="15.75" customHeight="1">
      <c r="A36" s="1"/>
      <c r="B36" s="14"/>
      <c r="C36" s="15"/>
      <c r="D36" s="15"/>
      <c r="E36" s="15"/>
      <c r="F36" s="16"/>
      <c r="G36" s="1"/>
      <c r="H36" s="14"/>
      <c r="I36" s="15"/>
      <c r="J36" s="15"/>
      <c r="K36" s="15"/>
      <c r="L36" s="16"/>
      <c r="M36" s="1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str">
        <f t="shared" si="1"/>
        <v/>
      </c>
      <c r="AR36" s="1" t="str">
        <f t="shared" si="2"/>
        <v/>
      </c>
      <c r="AS36" s="1" t="str">
        <f t="shared" si="3"/>
        <v/>
      </c>
      <c r="AT36" s="1" t="str">
        <f t="shared" si="4"/>
        <v/>
      </c>
      <c r="AU36" s="1" t="str">
        <f t="shared" si="5"/>
        <v/>
      </c>
      <c r="AV36" s="1" t="str">
        <f t="shared" si="6"/>
        <v/>
      </c>
      <c r="AW36" s="17" t="str">
        <f t="shared" si="7"/>
        <v/>
      </c>
      <c r="AX36" s="1" t="str">
        <f t="shared" si="8"/>
        <v/>
      </c>
      <c r="AY36" s="1" t="str">
        <f t="shared" si="9"/>
        <v/>
      </c>
      <c r="AZ36" s="1" t="str">
        <f t="shared" si="10"/>
        <v/>
      </c>
    </row>
    <row r="37" ht="15.75" customHeight="1">
      <c r="A37" s="1"/>
      <c r="B37" s="14"/>
      <c r="C37" s="15"/>
      <c r="D37" s="15"/>
      <c r="E37" s="15"/>
      <c r="F37" s="16"/>
      <c r="G37" s="1"/>
      <c r="H37" s="14"/>
      <c r="I37" s="15"/>
      <c r="J37" s="15"/>
      <c r="K37" s="15"/>
      <c r="L37" s="16"/>
      <c r="M37" s="1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 t="str">
        <f t="shared" si="1"/>
        <v/>
      </c>
      <c r="AR37" s="1" t="str">
        <f t="shared" si="2"/>
        <v/>
      </c>
      <c r="AS37" s="1" t="str">
        <f t="shared" si="3"/>
        <v/>
      </c>
      <c r="AT37" s="1" t="str">
        <f t="shared" si="4"/>
        <v/>
      </c>
      <c r="AU37" s="1" t="str">
        <f t="shared" si="5"/>
        <v/>
      </c>
      <c r="AV37" s="1" t="str">
        <f t="shared" si="6"/>
        <v/>
      </c>
      <c r="AW37" s="17" t="str">
        <f t="shared" si="7"/>
        <v/>
      </c>
      <c r="AX37" s="1" t="str">
        <f t="shared" si="8"/>
        <v/>
      </c>
      <c r="AY37" s="1" t="str">
        <f t="shared" si="9"/>
        <v/>
      </c>
      <c r="AZ37" s="1" t="str">
        <f t="shared" si="10"/>
        <v/>
      </c>
    </row>
    <row r="38" ht="15.75" customHeight="1">
      <c r="A38" s="1"/>
      <c r="B38" s="14"/>
      <c r="C38" s="15"/>
      <c r="D38" s="15"/>
      <c r="E38" s="15"/>
      <c r="F38" s="16"/>
      <c r="G38" s="1"/>
      <c r="H38" s="14"/>
      <c r="I38" s="15"/>
      <c r="J38" s="15"/>
      <c r="K38" s="15"/>
      <c r="L38" s="16"/>
      <c r="M38" s="1"/>
      <c r="N38" s="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 t="str">
        <f t="shared" si="1"/>
        <v/>
      </c>
      <c r="AR38" s="1" t="str">
        <f t="shared" si="2"/>
        <v/>
      </c>
      <c r="AS38" s="1" t="str">
        <f t="shared" si="3"/>
        <v/>
      </c>
      <c r="AT38" s="1" t="str">
        <f t="shared" si="4"/>
        <v/>
      </c>
      <c r="AU38" s="1" t="str">
        <f t="shared" si="5"/>
        <v/>
      </c>
      <c r="AV38" s="1" t="str">
        <f t="shared" si="6"/>
        <v/>
      </c>
      <c r="AW38" s="17" t="str">
        <f t="shared" si="7"/>
        <v/>
      </c>
      <c r="AX38" s="1" t="str">
        <f t="shared" si="8"/>
        <v/>
      </c>
      <c r="AY38" s="1" t="str">
        <f t="shared" si="9"/>
        <v/>
      </c>
      <c r="AZ38" s="1" t="str">
        <f t="shared" si="10"/>
        <v/>
      </c>
    </row>
    <row r="39" ht="15.75" customHeight="1">
      <c r="A39" s="1"/>
      <c r="B39" s="14"/>
      <c r="C39" s="15"/>
      <c r="D39" s="15"/>
      <c r="E39" s="15"/>
      <c r="F39" s="16"/>
      <c r="G39" s="1"/>
      <c r="H39" s="14"/>
      <c r="I39" s="15"/>
      <c r="J39" s="15"/>
      <c r="K39" s="15"/>
      <c r="L39" s="16"/>
      <c r="M39" s="1"/>
      <c r="N39" s="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 t="str">
        <f t="shared" si="1"/>
        <v/>
      </c>
      <c r="AR39" s="1" t="str">
        <f t="shared" si="2"/>
        <v/>
      </c>
      <c r="AS39" s="1" t="str">
        <f t="shared" si="3"/>
        <v/>
      </c>
      <c r="AT39" s="1" t="str">
        <f t="shared" si="4"/>
        <v/>
      </c>
      <c r="AU39" s="1" t="str">
        <f t="shared" si="5"/>
        <v/>
      </c>
      <c r="AV39" s="1" t="str">
        <f t="shared" si="6"/>
        <v/>
      </c>
      <c r="AW39" s="17" t="str">
        <f t="shared" si="7"/>
        <v/>
      </c>
      <c r="AX39" s="1" t="str">
        <f t="shared" si="8"/>
        <v/>
      </c>
      <c r="AY39" s="1" t="str">
        <f t="shared" si="9"/>
        <v/>
      </c>
      <c r="AZ39" s="1" t="str">
        <f t="shared" si="10"/>
        <v/>
      </c>
    </row>
    <row r="40" ht="15.75" customHeight="1">
      <c r="A40" s="1"/>
      <c r="B40" s="14"/>
      <c r="C40" s="15"/>
      <c r="D40" s="15"/>
      <c r="E40" s="15"/>
      <c r="F40" s="16"/>
      <c r="G40" s="1"/>
      <c r="H40" s="14"/>
      <c r="I40" s="15"/>
      <c r="J40" s="15"/>
      <c r="K40" s="15"/>
      <c r="L40" s="16"/>
      <c r="M40" s="1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 t="str">
        <f t="shared" si="1"/>
        <v/>
      </c>
      <c r="AR40" s="1" t="str">
        <f t="shared" si="2"/>
        <v/>
      </c>
      <c r="AS40" s="1" t="str">
        <f t="shared" si="3"/>
        <v/>
      </c>
      <c r="AT40" s="1" t="str">
        <f t="shared" si="4"/>
        <v/>
      </c>
      <c r="AU40" s="1" t="str">
        <f t="shared" si="5"/>
        <v/>
      </c>
      <c r="AV40" s="1" t="str">
        <f t="shared" si="6"/>
        <v/>
      </c>
      <c r="AW40" s="17" t="str">
        <f t="shared" si="7"/>
        <v/>
      </c>
      <c r="AX40" s="1" t="str">
        <f t="shared" si="8"/>
        <v/>
      </c>
      <c r="AY40" s="1" t="str">
        <f t="shared" si="9"/>
        <v/>
      </c>
      <c r="AZ40" s="1" t="str">
        <f t="shared" si="10"/>
        <v/>
      </c>
    </row>
    <row r="41" ht="15.75" customHeight="1">
      <c r="A41" s="1"/>
      <c r="B41" s="14"/>
      <c r="C41" s="15"/>
      <c r="D41" s="15"/>
      <c r="E41" s="15"/>
      <c r="F41" s="16"/>
      <c r="G41" s="1"/>
      <c r="H41" s="14"/>
      <c r="I41" s="15"/>
      <c r="J41" s="15"/>
      <c r="K41" s="15"/>
      <c r="L41" s="16"/>
      <c r="M41" s="1"/>
      <c r="N41" s="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 t="str">
        <f t="shared" si="1"/>
        <v/>
      </c>
      <c r="AR41" s="1" t="str">
        <f t="shared" si="2"/>
        <v/>
      </c>
      <c r="AS41" s="1" t="str">
        <f t="shared" si="3"/>
        <v/>
      </c>
      <c r="AT41" s="1" t="str">
        <f t="shared" si="4"/>
        <v/>
      </c>
      <c r="AU41" s="1" t="str">
        <f t="shared" si="5"/>
        <v/>
      </c>
      <c r="AV41" s="1" t="str">
        <f t="shared" si="6"/>
        <v/>
      </c>
      <c r="AW41" s="17" t="str">
        <f t="shared" si="7"/>
        <v/>
      </c>
      <c r="AX41" s="1" t="str">
        <f t="shared" si="8"/>
        <v/>
      </c>
      <c r="AY41" s="1" t="str">
        <f t="shared" si="9"/>
        <v/>
      </c>
      <c r="AZ41" s="1" t="str">
        <f t="shared" si="10"/>
        <v/>
      </c>
    </row>
    <row r="42" ht="15.75" customHeight="1">
      <c r="A42" s="1"/>
      <c r="B42" s="14"/>
      <c r="C42" s="15"/>
      <c r="D42" s="15"/>
      <c r="E42" s="15"/>
      <c r="F42" s="16"/>
      <c r="G42" s="1"/>
      <c r="H42" s="14"/>
      <c r="I42" s="15"/>
      <c r="J42" s="15"/>
      <c r="K42" s="15"/>
      <c r="L42" s="16"/>
      <c r="M42" s="1"/>
      <c r="N42" s="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 t="str">
        <f t="shared" si="1"/>
        <v/>
      </c>
      <c r="AR42" s="1" t="str">
        <f t="shared" si="2"/>
        <v/>
      </c>
      <c r="AS42" s="1" t="str">
        <f t="shared" si="3"/>
        <v/>
      </c>
      <c r="AT42" s="1" t="str">
        <f t="shared" si="4"/>
        <v/>
      </c>
      <c r="AU42" s="1" t="str">
        <f t="shared" si="5"/>
        <v/>
      </c>
      <c r="AV42" s="1" t="str">
        <f t="shared" si="6"/>
        <v/>
      </c>
      <c r="AW42" s="17" t="str">
        <f t="shared" si="7"/>
        <v/>
      </c>
      <c r="AX42" s="1" t="str">
        <f t="shared" si="8"/>
        <v/>
      </c>
      <c r="AY42" s="1" t="str">
        <f t="shared" si="9"/>
        <v/>
      </c>
      <c r="AZ42" s="1" t="str">
        <f t="shared" si="10"/>
        <v/>
      </c>
    </row>
    <row r="43" ht="15.75" customHeight="1">
      <c r="A43" s="1"/>
      <c r="B43" s="14"/>
      <c r="C43" s="15"/>
      <c r="D43" s="15"/>
      <c r="E43" s="15"/>
      <c r="F43" s="16"/>
      <c r="G43" s="1"/>
      <c r="H43" s="14"/>
      <c r="I43" s="15"/>
      <c r="J43" s="15"/>
      <c r="K43" s="15"/>
      <c r="L43" s="16"/>
      <c r="M43" s="1"/>
      <c r="N43" s="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 t="str">
        <f t="shared" si="1"/>
        <v/>
      </c>
      <c r="AR43" s="1" t="str">
        <f t="shared" si="2"/>
        <v/>
      </c>
      <c r="AS43" s="1" t="str">
        <f t="shared" si="3"/>
        <v/>
      </c>
      <c r="AT43" s="1" t="str">
        <f t="shared" si="4"/>
        <v/>
      </c>
      <c r="AU43" s="1" t="str">
        <f t="shared" si="5"/>
        <v/>
      </c>
      <c r="AV43" s="1" t="str">
        <f t="shared" si="6"/>
        <v/>
      </c>
      <c r="AW43" s="17" t="str">
        <f t="shared" si="7"/>
        <v/>
      </c>
      <c r="AX43" s="1" t="str">
        <f t="shared" si="8"/>
        <v/>
      </c>
      <c r="AY43" s="1" t="str">
        <f t="shared" si="9"/>
        <v/>
      </c>
      <c r="AZ43" s="1" t="str">
        <f t="shared" si="10"/>
        <v/>
      </c>
    </row>
    <row r="44" ht="15.75" customHeight="1">
      <c r="A44" s="1"/>
      <c r="B44" s="14"/>
      <c r="C44" s="15"/>
      <c r="D44" s="15"/>
      <c r="E44" s="15"/>
      <c r="F44" s="16"/>
      <c r="G44" s="1"/>
      <c r="H44" s="14"/>
      <c r="I44" s="15"/>
      <c r="J44" s="15"/>
      <c r="K44" s="15"/>
      <c r="L44" s="16"/>
      <c r="M44" s="1"/>
      <c r="N44" s="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str">
        <f t="shared" si="1"/>
        <v/>
      </c>
      <c r="AR44" s="1" t="str">
        <f t="shared" si="2"/>
        <v/>
      </c>
      <c r="AS44" s="1" t="str">
        <f t="shared" si="3"/>
        <v/>
      </c>
      <c r="AT44" s="1" t="str">
        <f t="shared" si="4"/>
        <v/>
      </c>
      <c r="AU44" s="1" t="str">
        <f t="shared" si="5"/>
        <v/>
      </c>
      <c r="AV44" s="1" t="str">
        <f t="shared" si="6"/>
        <v/>
      </c>
      <c r="AW44" s="17" t="str">
        <f t="shared" si="7"/>
        <v/>
      </c>
      <c r="AX44" s="1" t="str">
        <f t="shared" si="8"/>
        <v/>
      </c>
      <c r="AY44" s="1" t="str">
        <f t="shared" si="9"/>
        <v/>
      </c>
      <c r="AZ44" s="1" t="str">
        <f t="shared" si="10"/>
        <v/>
      </c>
    </row>
    <row r="45" ht="15.75" customHeight="1">
      <c r="A45" s="1"/>
      <c r="B45" s="14"/>
      <c r="C45" s="15"/>
      <c r="D45" s="15"/>
      <c r="E45" s="15"/>
      <c r="F45" s="16"/>
      <c r="G45" s="1"/>
      <c r="H45" s="14"/>
      <c r="I45" s="15"/>
      <c r="J45" s="15"/>
      <c r="K45" s="15"/>
      <c r="L45" s="16"/>
      <c r="M45" s="1"/>
      <c r="N45" s="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str">
        <f t="shared" si="1"/>
        <v/>
      </c>
      <c r="AR45" s="1" t="str">
        <f t="shared" si="2"/>
        <v/>
      </c>
      <c r="AS45" s="1" t="str">
        <f t="shared" si="3"/>
        <v/>
      </c>
      <c r="AT45" s="1" t="str">
        <f t="shared" si="4"/>
        <v/>
      </c>
      <c r="AU45" s="1" t="str">
        <f t="shared" si="5"/>
        <v/>
      </c>
      <c r="AV45" s="1" t="str">
        <f t="shared" si="6"/>
        <v/>
      </c>
      <c r="AW45" s="17" t="str">
        <f t="shared" si="7"/>
        <v/>
      </c>
      <c r="AX45" s="1" t="str">
        <f t="shared" si="8"/>
        <v/>
      </c>
      <c r="AY45" s="1" t="str">
        <f t="shared" si="9"/>
        <v/>
      </c>
      <c r="AZ45" s="1" t="str">
        <f t="shared" si="10"/>
        <v/>
      </c>
    </row>
    <row r="46" ht="15.75" customHeight="1">
      <c r="A46" s="1"/>
      <c r="B46" s="14"/>
      <c r="C46" s="15"/>
      <c r="D46" s="15"/>
      <c r="E46" s="15"/>
      <c r="F46" s="16"/>
      <c r="G46" s="1"/>
      <c r="H46" s="14"/>
      <c r="I46" s="15"/>
      <c r="J46" s="15"/>
      <c r="K46" s="15"/>
      <c r="L46" s="16"/>
      <c r="M46" s="1"/>
      <c r="N46" s="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str">
        <f t="shared" si="1"/>
        <v/>
      </c>
      <c r="AR46" s="1" t="str">
        <f t="shared" si="2"/>
        <v/>
      </c>
      <c r="AS46" s="1" t="str">
        <f t="shared" si="3"/>
        <v/>
      </c>
      <c r="AT46" s="1" t="str">
        <f t="shared" si="4"/>
        <v/>
      </c>
      <c r="AU46" s="1" t="str">
        <f t="shared" si="5"/>
        <v/>
      </c>
      <c r="AV46" s="1" t="str">
        <f t="shared" si="6"/>
        <v/>
      </c>
      <c r="AW46" s="17" t="str">
        <f t="shared" si="7"/>
        <v/>
      </c>
      <c r="AX46" s="1" t="str">
        <f t="shared" si="8"/>
        <v/>
      </c>
      <c r="AY46" s="1" t="str">
        <f t="shared" si="9"/>
        <v/>
      </c>
      <c r="AZ46" s="1" t="str">
        <f t="shared" si="10"/>
        <v/>
      </c>
    </row>
    <row r="47" ht="15.75" customHeight="1">
      <c r="A47" s="1"/>
      <c r="B47" s="14"/>
      <c r="C47" s="15"/>
      <c r="D47" s="15"/>
      <c r="E47" s="15"/>
      <c r="F47" s="16"/>
      <c r="G47" s="1"/>
      <c r="H47" s="14"/>
      <c r="I47" s="15"/>
      <c r="J47" s="15"/>
      <c r="K47" s="15"/>
      <c r="L47" s="16"/>
      <c r="M47" s="1"/>
      <c r="N47" s="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str">
        <f t="shared" si="1"/>
        <v/>
      </c>
      <c r="AR47" s="1" t="str">
        <f t="shared" si="2"/>
        <v/>
      </c>
      <c r="AS47" s="1" t="str">
        <f t="shared" si="3"/>
        <v/>
      </c>
      <c r="AT47" s="1" t="str">
        <f t="shared" si="4"/>
        <v/>
      </c>
      <c r="AU47" s="1" t="str">
        <f t="shared" si="5"/>
        <v/>
      </c>
      <c r="AV47" s="1" t="str">
        <f t="shared" si="6"/>
        <v/>
      </c>
      <c r="AW47" s="17" t="str">
        <f t="shared" si="7"/>
        <v/>
      </c>
      <c r="AX47" s="1" t="str">
        <f t="shared" si="8"/>
        <v/>
      </c>
      <c r="AY47" s="1" t="str">
        <f t="shared" si="9"/>
        <v/>
      </c>
      <c r="AZ47" s="1" t="str">
        <f t="shared" si="10"/>
        <v/>
      </c>
    </row>
    <row r="48" ht="15.75" customHeight="1">
      <c r="A48" s="1"/>
      <c r="B48" s="14"/>
      <c r="C48" s="15"/>
      <c r="D48" s="15"/>
      <c r="E48" s="15"/>
      <c r="F48" s="16"/>
      <c r="G48" s="1"/>
      <c r="H48" s="14"/>
      <c r="I48" s="15"/>
      <c r="J48" s="15"/>
      <c r="K48" s="15"/>
      <c r="L48" s="16"/>
      <c r="M48" s="1"/>
      <c r="N48" s="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str">
        <f t="shared" si="1"/>
        <v/>
      </c>
      <c r="AR48" s="1" t="str">
        <f t="shared" si="2"/>
        <v/>
      </c>
      <c r="AS48" s="1" t="str">
        <f t="shared" si="3"/>
        <v/>
      </c>
      <c r="AT48" s="1" t="str">
        <f t="shared" si="4"/>
        <v/>
      </c>
      <c r="AU48" s="1" t="str">
        <f t="shared" si="5"/>
        <v/>
      </c>
      <c r="AV48" s="1" t="str">
        <f t="shared" si="6"/>
        <v/>
      </c>
      <c r="AW48" s="17" t="str">
        <f t="shared" si="7"/>
        <v/>
      </c>
      <c r="AX48" s="1" t="str">
        <f t="shared" si="8"/>
        <v/>
      </c>
      <c r="AY48" s="1" t="str">
        <f t="shared" si="9"/>
        <v/>
      </c>
      <c r="AZ48" s="1" t="str">
        <f t="shared" si="10"/>
        <v/>
      </c>
    </row>
    <row r="49" ht="15.75" customHeight="1">
      <c r="A49" s="1"/>
      <c r="B49" s="14"/>
      <c r="C49" s="15"/>
      <c r="D49" s="15"/>
      <c r="E49" s="15"/>
      <c r="F49" s="16"/>
      <c r="G49" s="1"/>
      <c r="H49" s="14"/>
      <c r="I49" s="15"/>
      <c r="J49" s="15"/>
      <c r="K49" s="15"/>
      <c r="L49" s="16"/>
      <c r="M49" s="1"/>
      <c r="N49" s="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str">
        <f t="shared" si="1"/>
        <v/>
      </c>
      <c r="AR49" s="1" t="str">
        <f t="shared" si="2"/>
        <v/>
      </c>
      <c r="AS49" s="1" t="str">
        <f t="shared" si="3"/>
        <v/>
      </c>
      <c r="AT49" s="1" t="str">
        <f t="shared" si="4"/>
        <v/>
      </c>
      <c r="AU49" s="1" t="str">
        <f t="shared" si="5"/>
        <v/>
      </c>
      <c r="AV49" s="1" t="str">
        <f t="shared" si="6"/>
        <v/>
      </c>
      <c r="AW49" s="17" t="str">
        <f t="shared" si="7"/>
        <v/>
      </c>
      <c r="AX49" s="1" t="str">
        <f t="shared" si="8"/>
        <v/>
      </c>
      <c r="AY49" s="1" t="str">
        <f t="shared" si="9"/>
        <v/>
      </c>
      <c r="AZ49" s="1" t="str">
        <f t="shared" si="10"/>
        <v/>
      </c>
    </row>
    <row r="50" ht="15.75" customHeight="1">
      <c r="A50" s="1"/>
      <c r="B50" s="14"/>
      <c r="C50" s="15"/>
      <c r="D50" s="15"/>
      <c r="E50" s="15"/>
      <c r="F50" s="16"/>
      <c r="G50" s="1"/>
      <c r="H50" s="14"/>
      <c r="I50" s="15"/>
      <c r="J50" s="15"/>
      <c r="K50" s="15"/>
      <c r="L50" s="16"/>
      <c r="M50" s="1"/>
      <c r="N50" s="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 t="str">
        <f t="shared" si="1"/>
        <v/>
      </c>
      <c r="AR50" s="1" t="str">
        <f t="shared" si="2"/>
        <v/>
      </c>
      <c r="AS50" s="1" t="str">
        <f t="shared" si="3"/>
        <v/>
      </c>
      <c r="AT50" s="1" t="str">
        <f t="shared" si="4"/>
        <v/>
      </c>
      <c r="AU50" s="1" t="str">
        <f t="shared" si="5"/>
        <v/>
      </c>
      <c r="AV50" s="1" t="str">
        <f t="shared" si="6"/>
        <v/>
      </c>
      <c r="AW50" s="17" t="str">
        <f t="shared" si="7"/>
        <v/>
      </c>
      <c r="AX50" s="1" t="str">
        <f t="shared" si="8"/>
        <v/>
      </c>
      <c r="AY50" s="1" t="str">
        <f t="shared" si="9"/>
        <v/>
      </c>
      <c r="AZ50" s="1" t="str">
        <f t="shared" si="10"/>
        <v/>
      </c>
    </row>
    <row r="51" ht="15.75" customHeight="1">
      <c r="A51" s="1"/>
      <c r="B51" s="14"/>
      <c r="C51" s="15"/>
      <c r="D51" s="15"/>
      <c r="E51" s="15"/>
      <c r="F51" s="16"/>
      <c r="G51" s="1"/>
      <c r="H51" s="14"/>
      <c r="I51" s="15"/>
      <c r="J51" s="15"/>
      <c r="K51" s="15"/>
      <c r="L51" s="16"/>
      <c r="M51" s="1"/>
      <c r="N51" s="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 t="str">
        <f t="shared" si="1"/>
        <v/>
      </c>
      <c r="AR51" s="1" t="str">
        <f t="shared" si="2"/>
        <v/>
      </c>
      <c r="AS51" s="1" t="str">
        <f t="shared" si="3"/>
        <v/>
      </c>
      <c r="AT51" s="1" t="str">
        <f t="shared" si="4"/>
        <v/>
      </c>
      <c r="AU51" s="1" t="str">
        <f t="shared" si="5"/>
        <v/>
      </c>
      <c r="AV51" s="1" t="str">
        <f t="shared" si="6"/>
        <v/>
      </c>
      <c r="AW51" s="17" t="str">
        <f t="shared" si="7"/>
        <v/>
      </c>
      <c r="AX51" s="1" t="str">
        <f t="shared" si="8"/>
        <v/>
      </c>
      <c r="AY51" s="1" t="str">
        <f t="shared" si="9"/>
        <v/>
      </c>
      <c r="AZ51" s="1" t="str">
        <f t="shared" si="10"/>
        <v/>
      </c>
    </row>
    <row r="52" ht="15.75" customHeight="1">
      <c r="A52" s="1"/>
      <c r="B52" s="14"/>
      <c r="C52" s="15"/>
      <c r="D52" s="15"/>
      <c r="E52" s="15"/>
      <c r="F52" s="16"/>
      <c r="G52" s="1"/>
      <c r="H52" s="14"/>
      <c r="I52" s="15"/>
      <c r="J52" s="15"/>
      <c r="K52" s="15"/>
      <c r="L52" s="16"/>
      <c r="M52" s="1"/>
      <c r="N52" s="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 t="str">
        <f t="shared" si="1"/>
        <v/>
      </c>
      <c r="AR52" s="1" t="str">
        <f t="shared" si="2"/>
        <v/>
      </c>
      <c r="AS52" s="1" t="str">
        <f t="shared" si="3"/>
        <v/>
      </c>
      <c r="AT52" s="1" t="str">
        <f t="shared" si="4"/>
        <v/>
      </c>
      <c r="AU52" s="1" t="str">
        <f t="shared" si="5"/>
        <v/>
      </c>
      <c r="AV52" s="1" t="str">
        <f t="shared" si="6"/>
        <v/>
      </c>
      <c r="AW52" s="17" t="str">
        <f t="shared" si="7"/>
        <v/>
      </c>
      <c r="AX52" s="1" t="str">
        <f t="shared" si="8"/>
        <v/>
      </c>
      <c r="AY52" s="1" t="str">
        <f t="shared" si="9"/>
        <v/>
      </c>
      <c r="AZ52" s="1" t="str">
        <f t="shared" si="10"/>
        <v/>
      </c>
    </row>
    <row r="53" ht="15.75" customHeight="1">
      <c r="A53" s="1"/>
      <c r="B53" s="14"/>
      <c r="C53" s="15"/>
      <c r="D53" s="15"/>
      <c r="E53" s="15"/>
      <c r="F53" s="16"/>
      <c r="G53" s="1"/>
      <c r="H53" s="14"/>
      <c r="I53" s="15"/>
      <c r="J53" s="15"/>
      <c r="K53" s="15"/>
      <c r="L53" s="16"/>
      <c r="M53" s="1"/>
      <c r="N53" s="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 t="str">
        <f t="shared" si="1"/>
        <v/>
      </c>
      <c r="AR53" s="1" t="str">
        <f t="shared" si="2"/>
        <v/>
      </c>
      <c r="AS53" s="1" t="str">
        <f t="shared" si="3"/>
        <v/>
      </c>
      <c r="AT53" s="1" t="str">
        <f t="shared" si="4"/>
        <v/>
      </c>
      <c r="AU53" s="1" t="str">
        <f t="shared" si="5"/>
        <v/>
      </c>
      <c r="AV53" s="1" t="str">
        <f t="shared" si="6"/>
        <v/>
      </c>
      <c r="AW53" s="17" t="str">
        <f t="shared" si="7"/>
        <v/>
      </c>
      <c r="AX53" s="1" t="str">
        <f t="shared" si="8"/>
        <v/>
      </c>
      <c r="AY53" s="1" t="str">
        <f t="shared" si="9"/>
        <v/>
      </c>
      <c r="AZ53" s="1" t="str">
        <f t="shared" si="10"/>
        <v/>
      </c>
    </row>
    <row r="54" ht="15.75" customHeight="1">
      <c r="A54" s="1"/>
      <c r="B54" s="14"/>
      <c r="C54" s="15"/>
      <c r="D54" s="15"/>
      <c r="E54" s="15"/>
      <c r="F54" s="16"/>
      <c r="G54" s="1"/>
      <c r="H54" s="14"/>
      <c r="I54" s="15"/>
      <c r="J54" s="15"/>
      <c r="K54" s="15"/>
      <c r="L54" s="16"/>
      <c r="M54" s="1"/>
      <c r="N54" s="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 t="str">
        <f t="shared" si="1"/>
        <v/>
      </c>
      <c r="AR54" s="1" t="str">
        <f t="shared" si="2"/>
        <v/>
      </c>
      <c r="AS54" s="1" t="str">
        <f t="shared" si="3"/>
        <v/>
      </c>
      <c r="AT54" s="1" t="str">
        <f t="shared" si="4"/>
        <v/>
      </c>
      <c r="AU54" s="1" t="str">
        <f t="shared" si="5"/>
        <v/>
      </c>
      <c r="AV54" s="1" t="str">
        <f t="shared" si="6"/>
        <v/>
      </c>
      <c r="AW54" s="17" t="str">
        <f t="shared" si="7"/>
        <v/>
      </c>
      <c r="AX54" s="1" t="str">
        <f t="shared" si="8"/>
        <v/>
      </c>
      <c r="AY54" s="1" t="str">
        <f t="shared" si="9"/>
        <v/>
      </c>
      <c r="AZ54" s="1" t="str">
        <f t="shared" si="10"/>
        <v/>
      </c>
    </row>
    <row r="55" ht="15.75" customHeight="1">
      <c r="A55" s="1"/>
      <c r="B55" s="14"/>
      <c r="C55" s="15"/>
      <c r="D55" s="15"/>
      <c r="E55" s="15"/>
      <c r="F55" s="16"/>
      <c r="G55" s="1"/>
      <c r="H55" s="14"/>
      <c r="I55" s="15"/>
      <c r="J55" s="15"/>
      <c r="K55" s="15"/>
      <c r="L55" s="16"/>
      <c r="M55" s="1"/>
      <c r="N55" s="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 t="str">
        <f t="shared" si="1"/>
        <v/>
      </c>
      <c r="AR55" s="1" t="str">
        <f t="shared" si="2"/>
        <v/>
      </c>
      <c r="AS55" s="1" t="str">
        <f t="shared" si="3"/>
        <v/>
      </c>
      <c r="AT55" s="1" t="str">
        <f t="shared" si="4"/>
        <v/>
      </c>
      <c r="AU55" s="1" t="str">
        <f t="shared" si="5"/>
        <v/>
      </c>
      <c r="AV55" s="1" t="str">
        <f t="shared" si="6"/>
        <v/>
      </c>
      <c r="AW55" s="17" t="str">
        <f t="shared" si="7"/>
        <v/>
      </c>
      <c r="AX55" s="1" t="str">
        <f t="shared" si="8"/>
        <v/>
      </c>
      <c r="AY55" s="1" t="str">
        <f t="shared" si="9"/>
        <v/>
      </c>
      <c r="AZ55" s="1" t="str">
        <f t="shared" si="10"/>
        <v/>
      </c>
    </row>
    <row r="56" ht="15.75" customHeight="1">
      <c r="A56" s="1"/>
      <c r="B56" s="14"/>
      <c r="C56" s="15"/>
      <c r="D56" s="15"/>
      <c r="E56" s="15"/>
      <c r="F56" s="16"/>
      <c r="G56" s="1"/>
      <c r="H56" s="14"/>
      <c r="I56" s="15"/>
      <c r="J56" s="15"/>
      <c r="K56" s="15"/>
      <c r="L56" s="16"/>
      <c r="M56" s="1"/>
      <c r="N56" s="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 t="str">
        <f t="shared" si="1"/>
        <v/>
      </c>
      <c r="AR56" s="1" t="str">
        <f t="shared" si="2"/>
        <v/>
      </c>
      <c r="AS56" s="1" t="str">
        <f t="shared" si="3"/>
        <v/>
      </c>
      <c r="AT56" s="1" t="str">
        <f t="shared" si="4"/>
        <v/>
      </c>
      <c r="AU56" s="1" t="str">
        <f t="shared" si="5"/>
        <v/>
      </c>
      <c r="AV56" s="1" t="str">
        <f t="shared" si="6"/>
        <v/>
      </c>
      <c r="AW56" s="17" t="str">
        <f t="shared" si="7"/>
        <v/>
      </c>
      <c r="AX56" s="1" t="str">
        <f t="shared" si="8"/>
        <v/>
      </c>
      <c r="AY56" s="1" t="str">
        <f t="shared" si="9"/>
        <v/>
      </c>
      <c r="AZ56" s="1" t="str">
        <f t="shared" si="10"/>
        <v/>
      </c>
    </row>
    <row r="57" ht="15.75" customHeight="1">
      <c r="A57" s="1"/>
      <c r="B57" s="14"/>
      <c r="C57" s="15"/>
      <c r="D57" s="15"/>
      <c r="E57" s="15"/>
      <c r="F57" s="16"/>
      <c r="G57" s="1"/>
      <c r="H57" s="14"/>
      <c r="I57" s="15"/>
      <c r="J57" s="15"/>
      <c r="K57" s="15"/>
      <c r="L57" s="16"/>
      <c r="M57" s="1"/>
      <c r="N57" s="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 t="str">
        <f t="shared" si="1"/>
        <v/>
      </c>
      <c r="AR57" s="1" t="str">
        <f t="shared" si="2"/>
        <v/>
      </c>
      <c r="AS57" s="1" t="str">
        <f t="shared" si="3"/>
        <v/>
      </c>
      <c r="AT57" s="1" t="str">
        <f t="shared" si="4"/>
        <v/>
      </c>
      <c r="AU57" s="1" t="str">
        <f t="shared" si="5"/>
        <v/>
      </c>
      <c r="AV57" s="1" t="str">
        <f t="shared" si="6"/>
        <v/>
      </c>
      <c r="AW57" s="17" t="str">
        <f t="shared" si="7"/>
        <v/>
      </c>
      <c r="AX57" s="1" t="str">
        <f t="shared" si="8"/>
        <v/>
      </c>
      <c r="AY57" s="1" t="str">
        <f t="shared" si="9"/>
        <v/>
      </c>
      <c r="AZ57" s="1" t="str">
        <f t="shared" si="10"/>
        <v/>
      </c>
    </row>
    <row r="58" ht="15.75" customHeight="1">
      <c r="A58" s="1"/>
      <c r="B58" s="14"/>
      <c r="C58" s="15"/>
      <c r="D58" s="15"/>
      <c r="E58" s="15"/>
      <c r="F58" s="16"/>
      <c r="G58" s="1"/>
      <c r="H58" s="14"/>
      <c r="I58" s="15"/>
      <c r="J58" s="15"/>
      <c r="K58" s="15"/>
      <c r="L58" s="16"/>
      <c r="M58" s="1"/>
      <c r="N58" s="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 t="str">
        <f t="shared" si="1"/>
        <v/>
      </c>
      <c r="AR58" s="1" t="str">
        <f t="shared" si="2"/>
        <v/>
      </c>
      <c r="AS58" s="1" t="str">
        <f t="shared" si="3"/>
        <v/>
      </c>
      <c r="AT58" s="1" t="str">
        <f t="shared" si="4"/>
        <v/>
      </c>
      <c r="AU58" s="1" t="str">
        <f t="shared" si="5"/>
        <v/>
      </c>
      <c r="AV58" s="1" t="str">
        <f t="shared" si="6"/>
        <v/>
      </c>
      <c r="AW58" s="17" t="str">
        <f t="shared" si="7"/>
        <v/>
      </c>
      <c r="AX58" s="1" t="str">
        <f t="shared" si="8"/>
        <v/>
      </c>
      <c r="AY58" s="1" t="str">
        <f t="shared" si="9"/>
        <v/>
      </c>
      <c r="AZ58" s="1" t="str">
        <f t="shared" si="10"/>
        <v/>
      </c>
    </row>
    <row r="59" ht="15.75" customHeight="1">
      <c r="A59" s="1"/>
      <c r="B59" s="14"/>
      <c r="C59" s="15"/>
      <c r="D59" s="15"/>
      <c r="E59" s="15"/>
      <c r="F59" s="16"/>
      <c r="G59" s="1"/>
      <c r="H59" s="14"/>
      <c r="I59" s="15"/>
      <c r="J59" s="15"/>
      <c r="K59" s="15"/>
      <c r="L59" s="16"/>
      <c r="M59" s="1"/>
      <c r="N59" s="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 t="str">
        <f t="shared" si="1"/>
        <v/>
      </c>
      <c r="AR59" s="1" t="str">
        <f t="shared" si="2"/>
        <v/>
      </c>
      <c r="AS59" s="1" t="str">
        <f t="shared" si="3"/>
        <v/>
      </c>
      <c r="AT59" s="1" t="str">
        <f t="shared" si="4"/>
        <v/>
      </c>
      <c r="AU59" s="1" t="str">
        <f t="shared" si="5"/>
        <v/>
      </c>
      <c r="AV59" s="1" t="str">
        <f t="shared" si="6"/>
        <v/>
      </c>
      <c r="AW59" s="17" t="str">
        <f t="shared" si="7"/>
        <v/>
      </c>
      <c r="AX59" s="1" t="str">
        <f t="shared" si="8"/>
        <v/>
      </c>
      <c r="AY59" s="1" t="str">
        <f t="shared" si="9"/>
        <v/>
      </c>
      <c r="AZ59" s="1" t="str">
        <f t="shared" si="10"/>
        <v/>
      </c>
    </row>
    <row r="60" ht="15.75" customHeight="1">
      <c r="A60" s="1"/>
      <c r="B60" s="14"/>
      <c r="C60" s="15"/>
      <c r="D60" s="15"/>
      <c r="E60" s="15"/>
      <c r="F60" s="16"/>
      <c r="G60" s="1"/>
      <c r="H60" s="14"/>
      <c r="I60" s="15"/>
      <c r="J60" s="15"/>
      <c r="K60" s="15"/>
      <c r="L60" s="16"/>
      <c r="M60" s="1"/>
      <c r="N60" s="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 t="str">
        <f t="shared" si="1"/>
        <v/>
      </c>
      <c r="AR60" s="1" t="str">
        <f t="shared" si="2"/>
        <v/>
      </c>
      <c r="AS60" s="1" t="str">
        <f t="shared" si="3"/>
        <v/>
      </c>
      <c r="AT60" s="1" t="str">
        <f t="shared" si="4"/>
        <v/>
      </c>
      <c r="AU60" s="1" t="str">
        <f t="shared" si="5"/>
        <v/>
      </c>
      <c r="AV60" s="1" t="str">
        <f t="shared" si="6"/>
        <v/>
      </c>
      <c r="AW60" s="17" t="str">
        <f t="shared" si="7"/>
        <v/>
      </c>
      <c r="AX60" s="1" t="str">
        <f t="shared" si="8"/>
        <v/>
      </c>
      <c r="AY60" s="1" t="str">
        <f t="shared" si="9"/>
        <v/>
      </c>
      <c r="AZ60" s="1" t="str">
        <f t="shared" si="10"/>
        <v/>
      </c>
    </row>
    <row r="61" ht="15.75" customHeight="1">
      <c r="A61" s="1"/>
      <c r="B61" s="14"/>
      <c r="C61" s="15"/>
      <c r="D61" s="15"/>
      <c r="E61" s="15"/>
      <c r="F61" s="16"/>
      <c r="G61" s="1"/>
      <c r="H61" s="14"/>
      <c r="I61" s="15"/>
      <c r="J61" s="15"/>
      <c r="K61" s="15"/>
      <c r="L61" s="16"/>
      <c r="M61" s="1"/>
      <c r="N61" s="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 t="str">
        <f t="shared" si="1"/>
        <v/>
      </c>
      <c r="AR61" s="1" t="str">
        <f t="shared" si="2"/>
        <v/>
      </c>
      <c r="AS61" s="1" t="str">
        <f t="shared" si="3"/>
        <v/>
      </c>
      <c r="AT61" s="1" t="str">
        <f t="shared" si="4"/>
        <v/>
      </c>
      <c r="AU61" s="1" t="str">
        <f t="shared" si="5"/>
        <v/>
      </c>
      <c r="AV61" s="1" t="str">
        <f t="shared" si="6"/>
        <v/>
      </c>
      <c r="AW61" s="17" t="str">
        <f t="shared" si="7"/>
        <v/>
      </c>
      <c r="AX61" s="1" t="str">
        <f t="shared" si="8"/>
        <v/>
      </c>
      <c r="AY61" s="1" t="str">
        <f t="shared" si="9"/>
        <v/>
      </c>
      <c r="AZ61" s="1" t="str">
        <f t="shared" si="10"/>
        <v/>
      </c>
    </row>
    <row r="62" ht="15.75" customHeight="1">
      <c r="A62" s="1"/>
      <c r="B62" s="14"/>
      <c r="C62" s="15"/>
      <c r="D62" s="15"/>
      <c r="E62" s="15"/>
      <c r="F62" s="16"/>
      <c r="G62" s="1"/>
      <c r="H62" s="14"/>
      <c r="I62" s="15"/>
      <c r="J62" s="15"/>
      <c r="K62" s="15"/>
      <c r="L62" s="16"/>
      <c r="M62" s="1"/>
      <c r="N62" s="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 t="str">
        <f t="shared" si="1"/>
        <v/>
      </c>
      <c r="AR62" s="1" t="str">
        <f t="shared" si="2"/>
        <v/>
      </c>
      <c r="AS62" s="1" t="str">
        <f t="shared" si="3"/>
        <v/>
      </c>
      <c r="AT62" s="1" t="str">
        <f t="shared" si="4"/>
        <v/>
      </c>
      <c r="AU62" s="1" t="str">
        <f t="shared" si="5"/>
        <v/>
      </c>
      <c r="AV62" s="1" t="str">
        <f t="shared" si="6"/>
        <v/>
      </c>
      <c r="AW62" s="17" t="str">
        <f t="shared" si="7"/>
        <v/>
      </c>
      <c r="AX62" s="1" t="str">
        <f t="shared" si="8"/>
        <v/>
      </c>
      <c r="AY62" s="1" t="str">
        <f t="shared" si="9"/>
        <v/>
      </c>
      <c r="AZ62" s="1" t="str">
        <f t="shared" si="10"/>
        <v/>
      </c>
    </row>
    <row r="63" ht="15.75" customHeight="1">
      <c r="A63" s="1"/>
      <c r="B63" s="14"/>
      <c r="C63" s="15"/>
      <c r="D63" s="15"/>
      <c r="E63" s="15"/>
      <c r="F63" s="16"/>
      <c r="G63" s="1"/>
      <c r="H63" s="14"/>
      <c r="I63" s="15"/>
      <c r="J63" s="15"/>
      <c r="K63" s="15"/>
      <c r="L63" s="16"/>
      <c r="M63" s="1"/>
      <c r="N63" s="6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 t="str">
        <f t="shared" si="1"/>
        <v/>
      </c>
      <c r="AR63" s="1" t="str">
        <f t="shared" si="2"/>
        <v/>
      </c>
      <c r="AS63" s="1" t="str">
        <f t="shared" si="3"/>
        <v/>
      </c>
      <c r="AT63" s="1" t="str">
        <f t="shared" si="4"/>
        <v/>
      </c>
      <c r="AU63" s="1" t="str">
        <f t="shared" si="5"/>
        <v/>
      </c>
      <c r="AV63" s="1" t="str">
        <f t="shared" si="6"/>
        <v/>
      </c>
      <c r="AW63" s="17" t="str">
        <f t="shared" si="7"/>
        <v/>
      </c>
      <c r="AX63" s="1" t="str">
        <f t="shared" si="8"/>
        <v/>
      </c>
      <c r="AY63" s="1" t="str">
        <f t="shared" si="9"/>
        <v/>
      </c>
      <c r="AZ63" s="1" t="str">
        <f t="shared" si="10"/>
        <v/>
      </c>
    </row>
    <row r="64" ht="15.75" customHeight="1">
      <c r="A64" s="1"/>
      <c r="B64" s="14"/>
      <c r="C64" s="15"/>
      <c r="D64" s="15"/>
      <c r="E64" s="15"/>
      <c r="F64" s="16"/>
      <c r="G64" s="1"/>
      <c r="H64" s="14"/>
      <c r="I64" s="15"/>
      <c r="J64" s="15"/>
      <c r="K64" s="15"/>
      <c r="L64" s="16"/>
      <c r="M64" s="1"/>
      <c r="N64" s="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 t="str">
        <f t="shared" si="1"/>
        <v/>
      </c>
      <c r="AR64" s="1" t="str">
        <f t="shared" si="2"/>
        <v/>
      </c>
      <c r="AS64" s="1" t="str">
        <f t="shared" si="3"/>
        <v/>
      </c>
      <c r="AT64" s="1" t="str">
        <f t="shared" si="4"/>
        <v/>
      </c>
      <c r="AU64" s="1" t="str">
        <f t="shared" si="5"/>
        <v/>
      </c>
      <c r="AV64" s="1" t="str">
        <f t="shared" si="6"/>
        <v/>
      </c>
      <c r="AW64" s="17" t="str">
        <f t="shared" si="7"/>
        <v/>
      </c>
      <c r="AX64" s="1" t="str">
        <f t="shared" si="8"/>
        <v/>
      </c>
      <c r="AY64" s="1" t="str">
        <f t="shared" si="9"/>
        <v/>
      </c>
      <c r="AZ64" s="1" t="str">
        <f t="shared" si="10"/>
        <v/>
      </c>
    </row>
    <row r="65" ht="15.75" customHeight="1">
      <c r="A65" s="1"/>
      <c r="B65" s="14"/>
      <c r="C65" s="15"/>
      <c r="D65" s="15"/>
      <c r="E65" s="15"/>
      <c r="F65" s="16"/>
      <c r="G65" s="1"/>
      <c r="H65" s="14"/>
      <c r="I65" s="15"/>
      <c r="J65" s="15"/>
      <c r="K65" s="15"/>
      <c r="L65" s="16"/>
      <c r="M65" s="1"/>
      <c r="N65" s="6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 t="str">
        <f t="shared" si="1"/>
        <v/>
      </c>
      <c r="AR65" s="1" t="str">
        <f t="shared" si="2"/>
        <v/>
      </c>
      <c r="AS65" s="1" t="str">
        <f t="shared" si="3"/>
        <v/>
      </c>
      <c r="AT65" s="1" t="str">
        <f t="shared" si="4"/>
        <v/>
      </c>
      <c r="AU65" s="1" t="str">
        <f t="shared" si="5"/>
        <v/>
      </c>
      <c r="AV65" s="1" t="str">
        <f t="shared" si="6"/>
        <v/>
      </c>
      <c r="AW65" s="17" t="str">
        <f t="shared" si="7"/>
        <v/>
      </c>
      <c r="AX65" s="1" t="str">
        <f t="shared" si="8"/>
        <v/>
      </c>
      <c r="AY65" s="1" t="str">
        <f t="shared" si="9"/>
        <v/>
      </c>
      <c r="AZ65" s="1" t="str">
        <f t="shared" si="10"/>
        <v/>
      </c>
    </row>
    <row r="66" ht="15.75" customHeight="1">
      <c r="A66" s="1"/>
      <c r="B66" s="14"/>
      <c r="C66" s="15"/>
      <c r="D66" s="15"/>
      <c r="E66" s="15"/>
      <c r="F66" s="16"/>
      <c r="G66" s="1"/>
      <c r="H66" s="14"/>
      <c r="I66" s="15"/>
      <c r="J66" s="15"/>
      <c r="K66" s="15"/>
      <c r="L66" s="16"/>
      <c r="M66" s="1"/>
      <c r="N66" s="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 t="str">
        <f t="shared" si="1"/>
        <v/>
      </c>
      <c r="AR66" s="1" t="str">
        <f t="shared" si="2"/>
        <v/>
      </c>
      <c r="AS66" s="1" t="str">
        <f t="shared" si="3"/>
        <v/>
      </c>
      <c r="AT66" s="1" t="str">
        <f t="shared" si="4"/>
        <v/>
      </c>
      <c r="AU66" s="1" t="str">
        <f t="shared" si="5"/>
        <v/>
      </c>
      <c r="AV66" s="1" t="str">
        <f t="shared" si="6"/>
        <v/>
      </c>
      <c r="AW66" s="17" t="str">
        <f t="shared" si="7"/>
        <v/>
      </c>
      <c r="AX66" s="1" t="str">
        <f t="shared" si="8"/>
        <v/>
      </c>
      <c r="AY66" s="1" t="str">
        <f t="shared" si="9"/>
        <v/>
      </c>
      <c r="AZ66" s="1" t="str">
        <f t="shared" si="10"/>
        <v/>
      </c>
    </row>
    <row r="67" ht="15.75" customHeight="1">
      <c r="A67" s="1"/>
      <c r="B67" s="14"/>
      <c r="C67" s="15"/>
      <c r="D67" s="15"/>
      <c r="E67" s="15"/>
      <c r="F67" s="16"/>
      <c r="G67" s="1"/>
      <c r="H67" s="14"/>
      <c r="I67" s="15"/>
      <c r="J67" s="15"/>
      <c r="K67" s="15"/>
      <c r="L67" s="16"/>
      <c r="M67" s="1"/>
      <c r="N67" s="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 t="str">
        <f t="shared" si="1"/>
        <v/>
      </c>
      <c r="AR67" s="1" t="str">
        <f t="shared" si="2"/>
        <v/>
      </c>
      <c r="AS67" s="1" t="str">
        <f t="shared" si="3"/>
        <v/>
      </c>
      <c r="AT67" s="1" t="str">
        <f t="shared" si="4"/>
        <v/>
      </c>
      <c r="AU67" s="1" t="str">
        <f t="shared" si="5"/>
        <v/>
      </c>
      <c r="AV67" s="1" t="str">
        <f t="shared" si="6"/>
        <v/>
      </c>
      <c r="AW67" s="17" t="str">
        <f t="shared" si="7"/>
        <v/>
      </c>
      <c r="AX67" s="1" t="str">
        <f t="shared" si="8"/>
        <v/>
      </c>
      <c r="AY67" s="1" t="str">
        <f t="shared" si="9"/>
        <v/>
      </c>
      <c r="AZ67" s="1" t="str">
        <f t="shared" si="10"/>
        <v/>
      </c>
    </row>
    <row r="68" ht="15.75" customHeight="1">
      <c r="A68" s="1"/>
      <c r="B68" s="14"/>
      <c r="C68" s="15"/>
      <c r="D68" s="15"/>
      <c r="E68" s="15"/>
      <c r="F68" s="16"/>
      <c r="G68" s="1"/>
      <c r="H68" s="14"/>
      <c r="I68" s="15"/>
      <c r="J68" s="15"/>
      <c r="K68" s="15"/>
      <c r="L68" s="16"/>
      <c r="M68" s="1"/>
      <c r="N68" s="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 t="str">
        <f t="shared" si="1"/>
        <v/>
      </c>
      <c r="AR68" s="1" t="str">
        <f t="shared" si="2"/>
        <v/>
      </c>
      <c r="AS68" s="1" t="str">
        <f t="shared" si="3"/>
        <v/>
      </c>
      <c r="AT68" s="1" t="str">
        <f t="shared" si="4"/>
        <v/>
      </c>
      <c r="AU68" s="1" t="str">
        <f t="shared" si="5"/>
        <v/>
      </c>
      <c r="AV68" s="1" t="str">
        <f t="shared" si="6"/>
        <v/>
      </c>
      <c r="AW68" s="17" t="str">
        <f t="shared" si="7"/>
        <v/>
      </c>
      <c r="AX68" s="1" t="str">
        <f t="shared" si="8"/>
        <v/>
      </c>
      <c r="AY68" s="1" t="str">
        <f t="shared" si="9"/>
        <v/>
      </c>
      <c r="AZ68" s="1" t="str">
        <f t="shared" si="10"/>
        <v/>
      </c>
    </row>
    <row r="69" ht="15.75" customHeight="1">
      <c r="A69" s="1"/>
      <c r="B69" s="14"/>
      <c r="C69" s="15"/>
      <c r="D69" s="15"/>
      <c r="E69" s="15"/>
      <c r="F69" s="16"/>
      <c r="G69" s="1"/>
      <c r="H69" s="14"/>
      <c r="I69" s="15"/>
      <c r="J69" s="15"/>
      <c r="K69" s="15"/>
      <c r="L69" s="16"/>
      <c r="M69" s="1"/>
      <c r="N69" s="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 t="str">
        <f t="shared" si="1"/>
        <v/>
      </c>
      <c r="AR69" s="1" t="str">
        <f t="shared" si="2"/>
        <v/>
      </c>
      <c r="AS69" s="1" t="str">
        <f t="shared" si="3"/>
        <v/>
      </c>
      <c r="AT69" s="1" t="str">
        <f t="shared" si="4"/>
        <v/>
      </c>
      <c r="AU69" s="1" t="str">
        <f t="shared" si="5"/>
        <v/>
      </c>
      <c r="AV69" s="1" t="str">
        <f t="shared" si="6"/>
        <v/>
      </c>
      <c r="AW69" s="17" t="str">
        <f t="shared" si="7"/>
        <v/>
      </c>
      <c r="AX69" s="1" t="str">
        <f t="shared" si="8"/>
        <v/>
      </c>
      <c r="AY69" s="1" t="str">
        <f t="shared" si="9"/>
        <v/>
      </c>
      <c r="AZ69" s="1" t="str">
        <f t="shared" si="10"/>
        <v/>
      </c>
    </row>
    <row r="70" ht="15.75" customHeight="1">
      <c r="A70" s="1"/>
      <c r="B70" s="14"/>
      <c r="C70" s="15"/>
      <c r="D70" s="15"/>
      <c r="E70" s="15"/>
      <c r="F70" s="16"/>
      <c r="G70" s="1"/>
      <c r="H70" s="14"/>
      <c r="I70" s="15"/>
      <c r="J70" s="15"/>
      <c r="K70" s="15"/>
      <c r="L70" s="16"/>
      <c r="M70" s="1"/>
      <c r="N70" s="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 t="str">
        <f t="shared" si="1"/>
        <v/>
      </c>
      <c r="AR70" s="1" t="str">
        <f t="shared" si="2"/>
        <v/>
      </c>
      <c r="AS70" s="1" t="str">
        <f t="shared" si="3"/>
        <v/>
      </c>
      <c r="AT70" s="1" t="str">
        <f t="shared" si="4"/>
        <v/>
      </c>
      <c r="AU70" s="1" t="str">
        <f t="shared" si="5"/>
        <v/>
      </c>
      <c r="AV70" s="1" t="str">
        <f t="shared" si="6"/>
        <v/>
      </c>
      <c r="AW70" s="17" t="str">
        <f t="shared" si="7"/>
        <v/>
      </c>
      <c r="AX70" s="1" t="str">
        <f t="shared" si="8"/>
        <v/>
      </c>
      <c r="AY70" s="1" t="str">
        <f t="shared" si="9"/>
        <v/>
      </c>
      <c r="AZ70" s="1" t="str">
        <f t="shared" si="10"/>
        <v/>
      </c>
    </row>
    <row r="71" ht="15.75" customHeight="1">
      <c r="A71" s="1"/>
      <c r="B71" s="14"/>
      <c r="C71" s="15"/>
      <c r="D71" s="15"/>
      <c r="E71" s="15"/>
      <c r="F71" s="16"/>
      <c r="G71" s="1"/>
      <c r="H71" s="14"/>
      <c r="I71" s="15"/>
      <c r="J71" s="15"/>
      <c r="K71" s="15"/>
      <c r="L71" s="16"/>
      <c r="M71" s="1"/>
      <c r="N71" s="6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 t="str">
        <f t="shared" si="1"/>
        <v/>
      </c>
      <c r="AR71" s="1" t="str">
        <f t="shared" si="2"/>
        <v/>
      </c>
      <c r="AS71" s="1" t="str">
        <f t="shared" si="3"/>
        <v/>
      </c>
      <c r="AT71" s="1" t="str">
        <f t="shared" si="4"/>
        <v/>
      </c>
      <c r="AU71" s="1" t="str">
        <f t="shared" si="5"/>
        <v/>
      </c>
      <c r="AV71" s="1" t="str">
        <f t="shared" si="6"/>
        <v/>
      </c>
      <c r="AW71" s="17" t="str">
        <f t="shared" si="7"/>
        <v/>
      </c>
      <c r="AX71" s="1" t="str">
        <f t="shared" si="8"/>
        <v/>
      </c>
      <c r="AY71" s="1" t="str">
        <f t="shared" si="9"/>
        <v/>
      </c>
      <c r="AZ71" s="1" t="str">
        <f t="shared" si="10"/>
        <v/>
      </c>
    </row>
    <row r="72" ht="15.75" customHeight="1">
      <c r="A72" s="1"/>
      <c r="B72" s="14"/>
      <c r="C72" s="15"/>
      <c r="D72" s="15"/>
      <c r="E72" s="15"/>
      <c r="F72" s="16"/>
      <c r="G72" s="1"/>
      <c r="H72" s="14"/>
      <c r="I72" s="15"/>
      <c r="J72" s="15"/>
      <c r="K72" s="15"/>
      <c r="L72" s="16"/>
      <c r="M72" s="1"/>
      <c r="N72" s="6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 t="str">
        <f t="shared" si="1"/>
        <v/>
      </c>
      <c r="AR72" s="1" t="str">
        <f t="shared" si="2"/>
        <v/>
      </c>
      <c r="AS72" s="1" t="str">
        <f t="shared" si="3"/>
        <v/>
      </c>
      <c r="AT72" s="1" t="str">
        <f t="shared" si="4"/>
        <v/>
      </c>
      <c r="AU72" s="1" t="str">
        <f t="shared" si="5"/>
        <v/>
      </c>
      <c r="AV72" s="1" t="str">
        <f t="shared" si="6"/>
        <v/>
      </c>
      <c r="AW72" s="17" t="str">
        <f t="shared" si="7"/>
        <v/>
      </c>
      <c r="AX72" s="1" t="str">
        <f t="shared" si="8"/>
        <v/>
      </c>
      <c r="AY72" s="1" t="str">
        <f t="shared" si="9"/>
        <v/>
      </c>
      <c r="AZ72" s="1" t="str">
        <f t="shared" si="10"/>
        <v/>
      </c>
    </row>
    <row r="73" ht="15.75" customHeight="1">
      <c r="A73" s="1"/>
      <c r="B73" s="14"/>
      <c r="C73" s="15"/>
      <c r="D73" s="15"/>
      <c r="E73" s="15"/>
      <c r="F73" s="16"/>
      <c r="G73" s="1"/>
      <c r="H73" s="14"/>
      <c r="I73" s="15"/>
      <c r="J73" s="15"/>
      <c r="K73" s="15"/>
      <c r="L73" s="16"/>
      <c r="M73" s="1"/>
      <c r="N73" s="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 t="str">
        <f t="shared" si="1"/>
        <v/>
      </c>
      <c r="AR73" s="1" t="str">
        <f t="shared" si="2"/>
        <v/>
      </c>
      <c r="AS73" s="1" t="str">
        <f t="shared" si="3"/>
        <v/>
      </c>
      <c r="AT73" s="1" t="str">
        <f t="shared" si="4"/>
        <v/>
      </c>
      <c r="AU73" s="1" t="str">
        <f t="shared" si="5"/>
        <v/>
      </c>
      <c r="AV73" s="1" t="str">
        <f t="shared" si="6"/>
        <v/>
      </c>
      <c r="AW73" s="17" t="str">
        <f t="shared" si="7"/>
        <v/>
      </c>
      <c r="AX73" s="1" t="str">
        <f t="shared" si="8"/>
        <v/>
      </c>
      <c r="AY73" s="1" t="str">
        <f t="shared" si="9"/>
        <v/>
      </c>
      <c r="AZ73" s="1" t="str">
        <f t="shared" si="10"/>
        <v/>
      </c>
    </row>
    <row r="74" ht="15.75" customHeight="1">
      <c r="A74" s="1"/>
      <c r="B74" s="14"/>
      <c r="C74" s="15"/>
      <c r="D74" s="15"/>
      <c r="E74" s="15"/>
      <c r="F74" s="16"/>
      <c r="G74" s="1"/>
      <c r="H74" s="14"/>
      <c r="I74" s="15"/>
      <c r="J74" s="15"/>
      <c r="K74" s="15"/>
      <c r="L74" s="16"/>
      <c r="M74" s="1"/>
      <c r="N74" s="6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 t="str">
        <f t="shared" si="1"/>
        <v/>
      </c>
      <c r="AR74" s="1" t="str">
        <f t="shared" si="2"/>
        <v/>
      </c>
      <c r="AS74" s="1" t="str">
        <f t="shared" si="3"/>
        <v/>
      </c>
      <c r="AT74" s="1" t="str">
        <f t="shared" si="4"/>
        <v/>
      </c>
      <c r="AU74" s="1" t="str">
        <f t="shared" si="5"/>
        <v/>
      </c>
      <c r="AV74" s="1" t="str">
        <f t="shared" si="6"/>
        <v/>
      </c>
      <c r="AW74" s="17" t="str">
        <f t="shared" si="7"/>
        <v/>
      </c>
      <c r="AX74" s="1" t="str">
        <f t="shared" si="8"/>
        <v/>
      </c>
      <c r="AY74" s="1" t="str">
        <f t="shared" si="9"/>
        <v/>
      </c>
      <c r="AZ74" s="1" t="str">
        <f t="shared" si="10"/>
        <v/>
      </c>
    </row>
    <row r="75" ht="15.75" customHeight="1">
      <c r="A75" s="1"/>
      <c r="B75" s="14"/>
      <c r="C75" s="15"/>
      <c r="D75" s="15"/>
      <c r="E75" s="15"/>
      <c r="F75" s="16"/>
      <c r="G75" s="1"/>
      <c r="H75" s="14"/>
      <c r="I75" s="15"/>
      <c r="J75" s="15"/>
      <c r="K75" s="15"/>
      <c r="L75" s="16"/>
      <c r="M75" s="1"/>
      <c r="N75" s="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 t="str">
        <f t="shared" si="1"/>
        <v/>
      </c>
      <c r="AR75" s="1" t="str">
        <f t="shared" si="2"/>
        <v/>
      </c>
      <c r="AS75" s="1" t="str">
        <f t="shared" si="3"/>
        <v/>
      </c>
      <c r="AT75" s="1" t="str">
        <f t="shared" si="4"/>
        <v/>
      </c>
      <c r="AU75" s="1" t="str">
        <f t="shared" si="5"/>
        <v/>
      </c>
      <c r="AV75" s="1" t="str">
        <f t="shared" si="6"/>
        <v/>
      </c>
      <c r="AW75" s="17" t="str">
        <f t="shared" si="7"/>
        <v/>
      </c>
      <c r="AX75" s="1" t="str">
        <f t="shared" si="8"/>
        <v/>
      </c>
      <c r="AY75" s="1" t="str">
        <f t="shared" si="9"/>
        <v/>
      </c>
      <c r="AZ75" s="1" t="str">
        <f t="shared" si="10"/>
        <v/>
      </c>
    </row>
    <row r="76" ht="15.75" customHeight="1">
      <c r="A76" s="1"/>
      <c r="B76" s="14"/>
      <c r="C76" s="15"/>
      <c r="D76" s="15"/>
      <c r="E76" s="15"/>
      <c r="F76" s="16"/>
      <c r="G76" s="1"/>
      <c r="H76" s="14"/>
      <c r="I76" s="15"/>
      <c r="J76" s="15"/>
      <c r="K76" s="15"/>
      <c r="L76" s="16"/>
      <c r="M76" s="1"/>
      <c r="N76" s="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 t="str">
        <f t="shared" si="1"/>
        <v/>
      </c>
      <c r="AR76" s="1" t="str">
        <f t="shared" si="2"/>
        <v/>
      </c>
      <c r="AS76" s="1" t="str">
        <f t="shared" si="3"/>
        <v/>
      </c>
      <c r="AT76" s="1" t="str">
        <f t="shared" si="4"/>
        <v/>
      </c>
      <c r="AU76" s="1" t="str">
        <f t="shared" si="5"/>
        <v/>
      </c>
      <c r="AV76" s="1" t="str">
        <f t="shared" si="6"/>
        <v/>
      </c>
      <c r="AW76" s="17" t="str">
        <f t="shared" si="7"/>
        <v/>
      </c>
      <c r="AX76" s="1" t="str">
        <f t="shared" si="8"/>
        <v/>
      </c>
      <c r="AY76" s="1" t="str">
        <f t="shared" si="9"/>
        <v/>
      </c>
      <c r="AZ76" s="1" t="str">
        <f t="shared" si="10"/>
        <v/>
      </c>
    </row>
    <row r="77" ht="15.75" customHeight="1">
      <c r="A77" s="1"/>
      <c r="B77" s="14"/>
      <c r="C77" s="15"/>
      <c r="D77" s="15"/>
      <c r="E77" s="15"/>
      <c r="F77" s="16"/>
      <c r="G77" s="1"/>
      <c r="H77" s="14"/>
      <c r="I77" s="15"/>
      <c r="J77" s="15"/>
      <c r="K77" s="15"/>
      <c r="L77" s="16"/>
      <c r="M77" s="1"/>
      <c r="N77" s="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 t="str">
        <f t="shared" si="1"/>
        <v/>
      </c>
      <c r="AR77" s="1" t="str">
        <f t="shared" si="2"/>
        <v/>
      </c>
      <c r="AS77" s="1" t="str">
        <f t="shared" si="3"/>
        <v/>
      </c>
      <c r="AT77" s="1" t="str">
        <f t="shared" si="4"/>
        <v/>
      </c>
      <c r="AU77" s="1" t="str">
        <f t="shared" si="5"/>
        <v/>
      </c>
      <c r="AV77" s="1" t="str">
        <f t="shared" si="6"/>
        <v/>
      </c>
      <c r="AW77" s="17" t="str">
        <f t="shared" si="7"/>
        <v/>
      </c>
      <c r="AX77" s="1" t="str">
        <f t="shared" si="8"/>
        <v/>
      </c>
      <c r="AY77" s="1" t="str">
        <f t="shared" si="9"/>
        <v/>
      </c>
      <c r="AZ77" s="1" t="str">
        <f t="shared" si="10"/>
        <v/>
      </c>
    </row>
    <row r="78" ht="15.75" customHeight="1">
      <c r="A78" s="1"/>
      <c r="B78" s="14"/>
      <c r="C78" s="15"/>
      <c r="D78" s="15"/>
      <c r="E78" s="15"/>
      <c r="F78" s="16"/>
      <c r="G78" s="1"/>
      <c r="H78" s="14"/>
      <c r="I78" s="15"/>
      <c r="J78" s="15"/>
      <c r="K78" s="15"/>
      <c r="L78" s="16"/>
      <c r="M78" s="1"/>
      <c r="N78" s="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 t="str">
        <f t="shared" si="1"/>
        <v/>
      </c>
      <c r="AR78" s="1" t="str">
        <f t="shared" si="2"/>
        <v/>
      </c>
      <c r="AS78" s="1" t="str">
        <f t="shared" si="3"/>
        <v/>
      </c>
      <c r="AT78" s="1" t="str">
        <f t="shared" si="4"/>
        <v/>
      </c>
      <c r="AU78" s="1" t="str">
        <f t="shared" si="5"/>
        <v/>
      </c>
      <c r="AV78" s="1" t="str">
        <f t="shared" si="6"/>
        <v/>
      </c>
      <c r="AW78" s="17" t="str">
        <f t="shared" si="7"/>
        <v/>
      </c>
      <c r="AX78" s="1" t="str">
        <f t="shared" si="8"/>
        <v/>
      </c>
      <c r="AY78" s="1" t="str">
        <f t="shared" si="9"/>
        <v/>
      </c>
      <c r="AZ78" s="1" t="str">
        <f t="shared" si="10"/>
        <v/>
      </c>
    </row>
    <row r="79" ht="15.75" customHeight="1">
      <c r="A79" s="1"/>
      <c r="B79" s="14"/>
      <c r="C79" s="15"/>
      <c r="D79" s="15"/>
      <c r="E79" s="15"/>
      <c r="F79" s="16"/>
      <c r="G79" s="1"/>
      <c r="H79" s="14"/>
      <c r="I79" s="15"/>
      <c r="J79" s="15"/>
      <c r="K79" s="15"/>
      <c r="L79" s="16"/>
      <c r="M79" s="1"/>
      <c r="N79" s="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 t="str">
        <f t="shared" si="1"/>
        <v/>
      </c>
      <c r="AR79" s="1" t="str">
        <f t="shared" si="2"/>
        <v/>
      </c>
      <c r="AS79" s="1" t="str">
        <f t="shared" si="3"/>
        <v/>
      </c>
      <c r="AT79" s="1" t="str">
        <f t="shared" si="4"/>
        <v/>
      </c>
      <c r="AU79" s="1" t="str">
        <f t="shared" si="5"/>
        <v/>
      </c>
      <c r="AV79" s="1" t="str">
        <f t="shared" si="6"/>
        <v/>
      </c>
      <c r="AW79" s="17" t="str">
        <f t="shared" si="7"/>
        <v/>
      </c>
      <c r="AX79" s="1" t="str">
        <f t="shared" si="8"/>
        <v/>
      </c>
      <c r="AY79" s="1" t="str">
        <f t="shared" si="9"/>
        <v/>
      </c>
      <c r="AZ79" s="1" t="str">
        <f t="shared" si="10"/>
        <v/>
      </c>
    </row>
    <row r="80" ht="15.75" customHeight="1">
      <c r="A80" s="1"/>
      <c r="B80" s="14"/>
      <c r="C80" s="15"/>
      <c r="D80" s="15"/>
      <c r="E80" s="15"/>
      <c r="F80" s="16"/>
      <c r="G80" s="1"/>
      <c r="H80" s="14"/>
      <c r="I80" s="15"/>
      <c r="J80" s="15"/>
      <c r="K80" s="15"/>
      <c r="L80" s="16"/>
      <c r="M80" s="1"/>
      <c r="N80" s="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 t="str">
        <f t="shared" si="1"/>
        <v/>
      </c>
      <c r="AR80" s="1" t="str">
        <f t="shared" si="2"/>
        <v/>
      </c>
      <c r="AS80" s="1" t="str">
        <f t="shared" si="3"/>
        <v/>
      </c>
      <c r="AT80" s="1" t="str">
        <f t="shared" si="4"/>
        <v/>
      </c>
      <c r="AU80" s="1" t="str">
        <f t="shared" si="5"/>
        <v/>
      </c>
      <c r="AV80" s="1" t="str">
        <f t="shared" si="6"/>
        <v/>
      </c>
      <c r="AW80" s="17" t="str">
        <f t="shared" si="7"/>
        <v/>
      </c>
      <c r="AX80" s="1" t="str">
        <f t="shared" si="8"/>
        <v/>
      </c>
      <c r="AY80" s="1" t="str">
        <f t="shared" si="9"/>
        <v/>
      </c>
      <c r="AZ80" s="1" t="str">
        <f t="shared" si="10"/>
        <v/>
      </c>
    </row>
    <row r="81" ht="15.75" customHeight="1">
      <c r="A81" s="1"/>
      <c r="B81" s="14"/>
      <c r="C81" s="15"/>
      <c r="D81" s="15"/>
      <c r="E81" s="15"/>
      <c r="F81" s="16"/>
      <c r="G81" s="1"/>
      <c r="H81" s="14"/>
      <c r="I81" s="15"/>
      <c r="J81" s="15"/>
      <c r="K81" s="15"/>
      <c r="L81" s="16"/>
      <c r="M81" s="1"/>
      <c r="N81" s="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 t="str">
        <f t="shared" si="1"/>
        <v/>
      </c>
      <c r="AR81" s="1" t="str">
        <f t="shared" si="2"/>
        <v/>
      </c>
      <c r="AS81" s="1" t="str">
        <f t="shared" si="3"/>
        <v/>
      </c>
      <c r="AT81" s="1" t="str">
        <f t="shared" si="4"/>
        <v/>
      </c>
      <c r="AU81" s="1" t="str">
        <f t="shared" si="5"/>
        <v/>
      </c>
      <c r="AV81" s="1" t="str">
        <f t="shared" si="6"/>
        <v/>
      </c>
      <c r="AW81" s="17" t="str">
        <f t="shared" si="7"/>
        <v/>
      </c>
      <c r="AX81" s="1" t="str">
        <f t="shared" si="8"/>
        <v/>
      </c>
      <c r="AY81" s="1" t="str">
        <f t="shared" si="9"/>
        <v/>
      </c>
      <c r="AZ81" s="1" t="str">
        <f t="shared" si="10"/>
        <v/>
      </c>
    </row>
    <row r="82" ht="15.75" customHeight="1">
      <c r="A82" s="1"/>
      <c r="B82" s="14"/>
      <c r="C82" s="15"/>
      <c r="D82" s="15"/>
      <c r="E82" s="15"/>
      <c r="F82" s="16"/>
      <c r="G82" s="1"/>
      <c r="H82" s="14"/>
      <c r="I82" s="15"/>
      <c r="J82" s="15"/>
      <c r="K82" s="15"/>
      <c r="L82" s="16"/>
      <c r="M82" s="1"/>
      <c r="N82" s="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 t="str">
        <f t="shared" si="1"/>
        <v/>
      </c>
      <c r="AR82" s="1" t="str">
        <f t="shared" si="2"/>
        <v/>
      </c>
      <c r="AS82" s="1" t="str">
        <f t="shared" si="3"/>
        <v/>
      </c>
      <c r="AT82" s="1" t="str">
        <f t="shared" si="4"/>
        <v/>
      </c>
      <c r="AU82" s="1" t="str">
        <f t="shared" si="5"/>
        <v/>
      </c>
      <c r="AV82" s="1" t="str">
        <f t="shared" si="6"/>
        <v/>
      </c>
      <c r="AW82" s="17" t="str">
        <f t="shared" si="7"/>
        <v/>
      </c>
      <c r="AX82" s="1" t="str">
        <f t="shared" si="8"/>
        <v/>
      </c>
      <c r="AY82" s="1" t="str">
        <f t="shared" si="9"/>
        <v/>
      </c>
      <c r="AZ82" s="1" t="str">
        <f t="shared" si="10"/>
        <v/>
      </c>
    </row>
    <row r="83" ht="15.75" customHeight="1">
      <c r="A83" s="1"/>
      <c r="B83" s="14"/>
      <c r="C83" s="15"/>
      <c r="D83" s="15"/>
      <c r="E83" s="15"/>
      <c r="F83" s="16"/>
      <c r="G83" s="1"/>
      <c r="H83" s="14"/>
      <c r="I83" s="15"/>
      <c r="J83" s="15"/>
      <c r="K83" s="15"/>
      <c r="L83" s="16"/>
      <c r="M83" s="1"/>
      <c r="N83" s="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 t="str">
        <f t="shared" si="1"/>
        <v/>
      </c>
      <c r="AR83" s="1" t="str">
        <f t="shared" si="2"/>
        <v/>
      </c>
      <c r="AS83" s="1" t="str">
        <f t="shared" si="3"/>
        <v/>
      </c>
      <c r="AT83" s="1" t="str">
        <f t="shared" si="4"/>
        <v/>
      </c>
      <c r="AU83" s="1" t="str">
        <f t="shared" si="5"/>
        <v/>
      </c>
      <c r="AV83" s="1" t="str">
        <f t="shared" si="6"/>
        <v/>
      </c>
      <c r="AW83" s="17" t="str">
        <f t="shared" si="7"/>
        <v/>
      </c>
      <c r="AX83" s="1" t="str">
        <f t="shared" si="8"/>
        <v/>
      </c>
      <c r="AY83" s="1" t="str">
        <f t="shared" si="9"/>
        <v/>
      </c>
      <c r="AZ83" s="1" t="str">
        <f t="shared" si="10"/>
        <v/>
      </c>
    </row>
    <row r="84" ht="15.75" customHeight="1">
      <c r="A84" s="1"/>
      <c r="B84" s="14"/>
      <c r="C84" s="15"/>
      <c r="D84" s="15"/>
      <c r="E84" s="15"/>
      <c r="F84" s="16"/>
      <c r="G84" s="1"/>
      <c r="H84" s="14"/>
      <c r="I84" s="15"/>
      <c r="J84" s="15"/>
      <c r="K84" s="15"/>
      <c r="L84" s="16"/>
      <c r="M84" s="1"/>
      <c r="N84" s="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 t="str">
        <f t="shared" si="1"/>
        <v/>
      </c>
      <c r="AR84" s="1" t="str">
        <f t="shared" si="2"/>
        <v/>
      </c>
      <c r="AS84" s="1" t="str">
        <f t="shared" si="3"/>
        <v/>
      </c>
      <c r="AT84" s="1" t="str">
        <f t="shared" si="4"/>
        <v/>
      </c>
      <c r="AU84" s="1" t="str">
        <f t="shared" si="5"/>
        <v/>
      </c>
      <c r="AV84" s="1" t="str">
        <f t="shared" si="6"/>
        <v/>
      </c>
      <c r="AW84" s="17" t="str">
        <f t="shared" si="7"/>
        <v/>
      </c>
      <c r="AX84" s="1" t="str">
        <f t="shared" si="8"/>
        <v/>
      </c>
      <c r="AY84" s="1" t="str">
        <f t="shared" si="9"/>
        <v/>
      </c>
      <c r="AZ84" s="1" t="str">
        <f t="shared" si="10"/>
        <v/>
      </c>
    </row>
    <row r="85" ht="15.75" customHeight="1">
      <c r="A85" s="1"/>
      <c r="B85" s="14"/>
      <c r="C85" s="15"/>
      <c r="D85" s="15"/>
      <c r="E85" s="15"/>
      <c r="F85" s="16"/>
      <c r="G85" s="1"/>
      <c r="H85" s="14"/>
      <c r="I85" s="15"/>
      <c r="J85" s="15"/>
      <c r="K85" s="15"/>
      <c r="L85" s="16"/>
      <c r="M85" s="1"/>
      <c r="N85" s="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 t="str">
        <f t="shared" si="1"/>
        <v/>
      </c>
      <c r="AR85" s="1" t="str">
        <f t="shared" si="2"/>
        <v/>
      </c>
      <c r="AS85" s="1" t="str">
        <f t="shared" si="3"/>
        <v/>
      </c>
      <c r="AT85" s="1" t="str">
        <f t="shared" si="4"/>
        <v/>
      </c>
      <c r="AU85" s="1" t="str">
        <f t="shared" si="5"/>
        <v/>
      </c>
      <c r="AV85" s="1" t="str">
        <f t="shared" si="6"/>
        <v/>
      </c>
      <c r="AW85" s="17" t="str">
        <f t="shared" si="7"/>
        <v/>
      </c>
      <c r="AX85" s="1" t="str">
        <f t="shared" si="8"/>
        <v/>
      </c>
      <c r="AY85" s="1" t="str">
        <f t="shared" si="9"/>
        <v/>
      </c>
      <c r="AZ85" s="1" t="str">
        <f t="shared" si="10"/>
        <v/>
      </c>
    </row>
    <row r="86" ht="15.75" customHeight="1">
      <c r="A86" s="1"/>
      <c r="B86" s="14"/>
      <c r="C86" s="15"/>
      <c r="D86" s="15"/>
      <c r="E86" s="15"/>
      <c r="F86" s="16"/>
      <c r="G86" s="1"/>
      <c r="H86" s="14"/>
      <c r="I86" s="15"/>
      <c r="J86" s="15"/>
      <c r="K86" s="15"/>
      <c r="L86" s="16"/>
      <c r="M86" s="1"/>
      <c r="N86" s="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 t="str">
        <f t="shared" si="1"/>
        <v/>
      </c>
      <c r="AR86" s="1" t="str">
        <f t="shared" si="2"/>
        <v/>
      </c>
      <c r="AS86" s="1" t="str">
        <f t="shared" si="3"/>
        <v/>
      </c>
      <c r="AT86" s="1" t="str">
        <f t="shared" si="4"/>
        <v/>
      </c>
      <c r="AU86" s="1" t="str">
        <f t="shared" si="5"/>
        <v/>
      </c>
      <c r="AV86" s="1" t="str">
        <f t="shared" si="6"/>
        <v/>
      </c>
      <c r="AW86" s="17" t="str">
        <f t="shared" si="7"/>
        <v/>
      </c>
      <c r="AX86" s="1" t="str">
        <f t="shared" si="8"/>
        <v/>
      </c>
      <c r="AY86" s="1" t="str">
        <f t="shared" si="9"/>
        <v/>
      </c>
      <c r="AZ86" s="1" t="str">
        <f t="shared" si="10"/>
        <v/>
      </c>
    </row>
    <row r="87" ht="15.75" customHeight="1">
      <c r="A87" s="1"/>
      <c r="B87" s="14"/>
      <c r="C87" s="15"/>
      <c r="D87" s="15"/>
      <c r="E87" s="15"/>
      <c r="F87" s="16"/>
      <c r="G87" s="1"/>
      <c r="H87" s="14"/>
      <c r="I87" s="15"/>
      <c r="J87" s="15"/>
      <c r="K87" s="15"/>
      <c r="L87" s="16"/>
      <c r="M87" s="1"/>
      <c r="N87" s="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 t="str">
        <f t="shared" si="1"/>
        <v/>
      </c>
      <c r="AR87" s="1" t="str">
        <f t="shared" si="2"/>
        <v/>
      </c>
      <c r="AS87" s="1" t="str">
        <f t="shared" si="3"/>
        <v/>
      </c>
      <c r="AT87" s="1" t="str">
        <f t="shared" si="4"/>
        <v/>
      </c>
      <c r="AU87" s="1" t="str">
        <f t="shared" si="5"/>
        <v/>
      </c>
      <c r="AV87" s="1" t="str">
        <f t="shared" si="6"/>
        <v/>
      </c>
      <c r="AW87" s="17" t="str">
        <f t="shared" si="7"/>
        <v/>
      </c>
      <c r="AX87" s="1" t="str">
        <f t="shared" si="8"/>
        <v/>
      </c>
      <c r="AY87" s="1" t="str">
        <f t="shared" si="9"/>
        <v/>
      </c>
      <c r="AZ87" s="1" t="str">
        <f t="shared" si="10"/>
        <v/>
      </c>
    </row>
    <row r="88" ht="15.75" customHeight="1">
      <c r="A88" s="1"/>
      <c r="B88" s="14"/>
      <c r="C88" s="15"/>
      <c r="D88" s="15"/>
      <c r="E88" s="15"/>
      <c r="F88" s="16"/>
      <c r="G88" s="1"/>
      <c r="H88" s="14"/>
      <c r="I88" s="15"/>
      <c r="J88" s="15"/>
      <c r="K88" s="15"/>
      <c r="L88" s="16"/>
      <c r="M88" s="1"/>
      <c r="N88" s="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 t="str">
        <f t="shared" si="1"/>
        <v/>
      </c>
      <c r="AR88" s="1" t="str">
        <f t="shared" si="2"/>
        <v/>
      </c>
      <c r="AS88" s="1" t="str">
        <f t="shared" si="3"/>
        <v/>
      </c>
      <c r="AT88" s="1" t="str">
        <f t="shared" si="4"/>
        <v/>
      </c>
      <c r="AU88" s="1" t="str">
        <f t="shared" si="5"/>
        <v/>
      </c>
      <c r="AV88" s="1" t="str">
        <f t="shared" si="6"/>
        <v/>
      </c>
      <c r="AW88" s="17" t="str">
        <f t="shared" si="7"/>
        <v/>
      </c>
      <c r="AX88" s="1" t="str">
        <f t="shared" si="8"/>
        <v/>
      </c>
      <c r="AY88" s="1" t="str">
        <f t="shared" si="9"/>
        <v/>
      </c>
      <c r="AZ88" s="1" t="str">
        <f t="shared" si="10"/>
        <v/>
      </c>
    </row>
    <row r="89" ht="15.75" customHeight="1">
      <c r="A89" s="1"/>
      <c r="B89" s="14"/>
      <c r="C89" s="15"/>
      <c r="D89" s="15"/>
      <c r="E89" s="15"/>
      <c r="F89" s="16"/>
      <c r="G89" s="1"/>
      <c r="H89" s="14"/>
      <c r="I89" s="15"/>
      <c r="J89" s="15"/>
      <c r="K89" s="15"/>
      <c r="L89" s="16"/>
      <c r="M89" s="1"/>
      <c r="N89" s="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 t="str">
        <f t="shared" si="1"/>
        <v/>
      </c>
      <c r="AR89" s="1" t="str">
        <f t="shared" si="2"/>
        <v/>
      </c>
      <c r="AS89" s="1" t="str">
        <f t="shared" si="3"/>
        <v/>
      </c>
      <c r="AT89" s="1" t="str">
        <f t="shared" si="4"/>
        <v/>
      </c>
      <c r="AU89" s="1" t="str">
        <f t="shared" si="5"/>
        <v/>
      </c>
      <c r="AV89" s="1" t="str">
        <f t="shared" si="6"/>
        <v/>
      </c>
      <c r="AW89" s="17" t="str">
        <f t="shared" si="7"/>
        <v/>
      </c>
      <c r="AX89" s="1" t="str">
        <f t="shared" si="8"/>
        <v/>
      </c>
      <c r="AY89" s="1" t="str">
        <f t="shared" si="9"/>
        <v/>
      </c>
      <c r="AZ89" s="1" t="str">
        <f t="shared" si="10"/>
        <v/>
      </c>
    </row>
    <row r="90" ht="15.75" customHeight="1">
      <c r="A90" s="1"/>
      <c r="B90" s="14"/>
      <c r="C90" s="15"/>
      <c r="D90" s="15"/>
      <c r="E90" s="15"/>
      <c r="F90" s="16"/>
      <c r="G90" s="1"/>
      <c r="H90" s="14"/>
      <c r="I90" s="15"/>
      <c r="J90" s="15"/>
      <c r="K90" s="15"/>
      <c r="L90" s="16"/>
      <c r="M90" s="1"/>
      <c r="N90" s="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 t="str">
        <f t="shared" si="1"/>
        <v/>
      </c>
      <c r="AR90" s="1" t="str">
        <f t="shared" si="2"/>
        <v/>
      </c>
      <c r="AS90" s="1" t="str">
        <f t="shared" si="3"/>
        <v/>
      </c>
      <c r="AT90" s="1" t="str">
        <f t="shared" si="4"/>
        <v/>
      </c>
      <c r="AU90" s="1" t="str">
        <f t="shared" si="5"/>
        <v/>
      </c>
      <c r="AV90" s="1" t="str">
        <f t="shared" si="6"/>
        <v/>
      </c>
      <c r="AW90" s="17" t="str">
        <f t="shared" si="7"/>
        <v/>
      </c>
      <c r="AX90" s="1" t="str">
        <f t="shared" si="8"/>
        <v/>
      </c>
      <c r="AY90" s="1" t="str">
        <f t="shared" si="9"/>
        <v/>
      </c>
      <c r="AZ90" s="1" t="str">
        <f t="shared" si="10"/>
        <v/>
      </c>
    </row>
    <row r="91" ht="15.75" customHeight="1">
      <c r="A91" s="1"/>
      <c r="B91" s="14"/>
      <c r="C91" s="15"/>
      <c r="D91" s="15"/>
      <c r="E91" s="15"/>
      <c r="F91" s="16"/>
      <c r="G91" s="1"/>
      <c r="H91" s="14"/>
      <c r="I91" s="15"/>
      <c r="J91" s="15"/>
      <c r="K91" s="15"/>
      <c r="L91" s="16"/>
      <c r="M91" s="1"/>
      <c r="N91" s="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 t="str">
        <f t="shared" si="1"/>
        <v/>
      </c>
      <c r="AR91" s="1" t="str">
        <f t="shared" si="2"/>
        <v/>
      </c>
      <c r="AS91" s="1" t="str">
        <f t="shared" si="3"/>
        <v/>
      </c>
      <c r="AT91" s="1" t="str">
        <f t="shared" si="4"/>
        <v/>
      </c>
      <c r="AU91" s="1" t="str">
        <f t="shared" si="5"/>
        <v/>
      </c>
      <c r="AV91" s="1" t="str">
        <f t="shared" si="6"/>
        <v/>
      </c>
      <c r="AW91" s="17" t="str">
        <f t="shared" si="7"/>
        <v/>
      </c>
      <c r="AX91" s="1" t="str">
        <f t="shared" si="8"/>
        <v/>
      </c>
      <c r="AY91" s="1" t="str">
        <f t="shared" si="9"/>
        <v/>
      </c>
      <c r="AZ91" s="1" t="str">
        <f t="shared" si="10"/>
        <v/>
      </c>
    </row>
    <row r="92" ht="15.75" customHeight="1">
      <c r="A92" s="1"/>
      <c r="B92" s="14"/>
      <c r="C92" s="15"/>
      <c r="D92" s="15"/>
      <c r="E92" s="15"/>
      <c r="F92" s="16"/>
      <c r="G92" s="1"/>
      <c r="H92" s="14"/>
      <c r="I92" s="15"/>
      <c r="J92" s="15"/>
      <c r="K92" s="15"/>
      <c r="L92" s="16"/>
      <c r="M92" s="1"/>
      <c r="N92" s="6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 t="str">
        <f t="shared" si="1"/>
        <v/>
      </c>
      <c r="AR92" s="1" t="str">
        <f t="shared" si="2"/>
        <v/>
      </c>
      <c r="AS92" s="1" t="str">
        <f t="shared" si="3"/>
        <v/>
      </c>
      <c r="AT92" s="1" t="str">
        <f t="shared" si="4"/>
        <v/>
      </c>
      <c r="AU92" s="1" t="str">
        <f t="shared" si="5"/>
        <v/>
      </c>
      <c r="AV92" s="1" t="str">
        <f t="shared" si="6"/>
        <v/>
      </c>
      <c r="AW92" s="17" t="str">
        <f t="shared" si="7"/>
        <v/>
      </c>
      <c r="AX92" s="1" t="str">
        <f t="shared" si="8"/>
        <v/>
      </c>
      <c r="AY92" s="1" t="str">
        <f t="shared" si="9"/>
        <v/>
      </c>
      <c r="AZ92" s="1" t="str">
        <f t="shared" si="10"/>
        <v/>
      </c>
    </row>
    <row r="93" ht="15.75" customHeight="1">
      <c r="A93" s="1"/>
      <c r="B93" s="14"/>
      <c r="C93" s="15"/>
      <c r="D93" s="15"/>
      <c r="E93" s="15"/>
      <c r="F93" s="16"/>
      <c r="G93" s="1"/>
      <c r="H93" s="14"/>
      <c r="I93" s="15"/>
      <c r="J93" s="15"/>
      <c r="K93" s="15"/>
      <c r="L93" s="16"/>
      <c r="M93" s="1"/>
      <c r="N93" s="6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 t="str">
        <f t="shared" si="1"/>
        <v/>
      </c>
      <c r="AR93" s="1" t="str">
        <f t="shared" si="2"/>
        <v/>
      </c>
      <c r="AS93" s="1" t="str">
        <f t="shared" si="3"/>
        <v/>
      </c>
      <c r="AT93" s="1" t="str">
        <f t="shared" si="4"/>
        <v/>
      </c>
      <c r="AU93" s="1" t="str">
        <f t="shared" si="5"/>
        <v/>
      </c>
      <c r="AV93" s="1" t="str">
        <f t="shared" si="6"/>
        <v/>
      </c>
      <c r="AW93" s="17" t="str">
        <f t="shared" si="7"/>
        <v/>
      </c>
      <c r="AX93" s="1" t="str">
        <f t="shared" si="8"/>
        <v/>
      </c>
      <c r="AY93" s="1" t="str">
        <f t="shared" si="9"/>
        <v/>
      </c>
      <c r="AZ93" s="1" t="str">
        <f t="shared" si="10"/>
        <v/>
      </c>
    </row>
    <row r="94" ht="15.75" customHeight="1">
      <c r="A94" s="1"/>
      <c r="B94" s="14"/>
      <c r="C94" s="15"/>
      <c r="D94" s="15"/>
      <c r="E94" s="15"/>
      <c r="F94" s="16"/>
      <c r="G94" s="1"/>
      <c r="H94" s="14"/>
      <c r="I94" s="15"/>
      <c r="J94" s="15"/>
      <c r="K94" s="15"/>
      <c r="L94" s="16"/>
      <c r="M94" s="1"/>
      <c r="N94" s="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 t="str">
        <f t="shared" si="1"/>
        <v/>
      </c>
      <c r="AR94" s="1" t="str">
        <f t="shared" si="2"/>
        <v/>
      </c>
      <c r="AS94" s="1" t="str">
        <f t="shared" si="3"/>
        <v/>
      </c>
      <c r="AT94" s="1" t="str">
        <f t="shared" si="4"/>
        <v/>
      </c>
      <c r="AU94" s="1" t="str">
        <f t="shared" si="5"/>
        <v/>
      </c>
      <c r="AV94" s="1" t="str">
        <f t="shared" si="6"/>
        <v/>
      </c>
      <c r="AW94" s="17" t="str">
        <f t="shared" si="7"/>
        <v/>
      </c>
      <c r="AX94" s="1" t="str">
        <f t="shared" si="8"/>
        <v/>
      </c>
      <c r="AY94" s="1" t="str">
        <f t="shared" si="9"/>
        <v/>
      </c>
      <c r="AZ94" s="1" t="str">
        <f t="shared" si="10"/>
        <v/>
      </c>
    </row>
    <row r="95" ht="15.75" customHeight="1">
      <c r="A95" s="1"/>
      <c r="B95" s="14"/>
      <c r="C95" s="15"/>
      <c r="D95" s="15"/>
      <c r="E95" s="15"/>
      <c r="F95" s="16"/>
      <c r="G95" s="1"/>
      <c r="H95" s="14"/>
      <c r="I95" s="15"/>
      <c r="J95" s="15"/>
      <c r="K95" s="15"/>
      <c r="L95" s="16"/>
      <c r="M95" s="1"/>
      <c r="N95" s="6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 t="str">
        <f t="shared" si="1"/>
        <v/>
      </c>
      <c r="AR95" s="1" t="str">
        <f t="shared" si="2"/>
        <v/>
      </c>
      <c r="AS95" s="1" t="str">
        <f t="shared" si="3"/>
        <v/>
      </c>
      <c r="AT95" s="1" t="str">
        <f t="shared" si="4"/>
        <v/>
      </c>
      <c r="AU95" s="1" t="str">
        <f t="shared" si="5"/>
        <v/>
      </c>
      <c r="AV95" s="1" t="str">
        <f t="shared" si="6"/>
        <v/>
      </c>
      <c r="AW95" s="17" t="str">
        <f t="shared" si="7"/>
        <v/>
      </c>
      <c r="AX95" s="1" t="str">
        <f t="shared" si="8"/>
        <v/>
      </c>
      <c r="AY95" s="1" t="str">
        <f t="shared" si="9"/>
        <v/>
      </c>
      <c r="AZ95" s="1" t="str">
        <f t="shared" si="10"/>
        <v/>
      </c>
    </row>
    <row r="96" ht="15.75" customHeight="1">
      <c r="A96" s="1"/>
      <c r="B96" s="14"/>
      <c r="C96" s="15"/>
      <c r="D96" s="15"/>
      <c r="E96" s="15"/>
      <c r="F96" s="16"/>
      <c r="G96" s="1"/>
      <c r="H96" s="14"/>
      <c r="I96" s="15"/>
      <c r="J96" s="15"/>
      <c r="K96" s="15"/>
      <c r="L96" s="16"/>
      <c r="M96" s="1"/>
      <c r="N96" s="6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 t="str">
        <f t="shared" si="1"/>
        <v/>
      </c>
      <c r="AR96" s="1" t="str">
        <f t="shared" si="2"/>
        <v/>
      </c>
      <c r="AS96" s="1" t="str">
        <f t="shared" si="3"/>
        <v/>
      </c>
      <c r="AT96" s="1" t="str">
        <f t="shared" si="4"/>
        <v/>
      </c>
      <c r="AU96" s="1" t="str">
        <f t="shared" si="5"/>
        <v/>
      </c>
      <c r="AV96" s="1" t="str">
        <f t="shared" si="6"/>
        <v/>
      </c>
      <c r="AW96" s="17" t="str">
        <f t="shared" si="7"/>
        <v/>
      </c>
      <c r="AX96" s="1" t="str">
        <f t="shared" si="8"/>
        <v/>
      </c>
      <c r="AY96" s="1" t="str">
        <f t="shared" si="9"/>
        <v/>
      </c>
      <c r="AZ96" s="1" t="str">
        <f t="shared" si="10"/>
        <v/>
      </c>
    </row>
    <row r="97" ht="15.75" customHeight="1">
      <c r="A97" s="1"/>
      <c r="B97" s="14"/>
      <c r="C97" s="15"/>
      <c r="D97" s="15"/>
      <c r="E97" s="15"/>
      <c r="F97" s="16"/>
      <c r="G97" s="1"/>
      <c r="H97" s="14"/>
      <c r="I97" s="15"/>
      <c r="J97" s="15"/>
      <c r="K97" s="15"/>
      <c r="L97" s="16"/>
      <c r="M97" s="1"/>
      <c r="N97" s="6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 t="str">
        <f t="shared" si="1"/>
        <v/>
      </c>
      <c r="AR97" s="1" t="str">
        <f t="shared" si="2"/>
        <v/>
      </c>
      <c r="AS97" s="1" t="str">
        <f t="shared" si="3"/>
        <v/>
      </c>
      <c r="AT97" s="1" t="str">
        <f t="shared" si="4"/>
        <v/>
      </c>
      <c r="AU97" s="1" t="str">
        <f t="shared" si="5"/>
        <v/>
      </c>
      <c r="AV97" s="1" t="str">
        <f t="shared" si="6"/>
        <v/>
      </c>
      <c r="AW97" s="17" t="str">
        <f t="shared" si="7"/>
        <v/>
      </c>
      <c r="AX97" s="1" t="str">
        <f t="shared" si="8"/>
        <v/>
      </c>
      <c r="AY97" s="1" t="str">
        <f t="shared" si="9"/>
        <v/>
      </c>
      <c r="AZ97" s="1" t="str">
        <f t="shared" si="10"/>
        <v/>
      </c>
    </row>
    <row r="98" ht="15.75" customHeight="1">
      <c r="A98" s="1"/>
      <c r="B98" s="14"/>
      <c r="C98" s="15"/>
      <c r="D98" s="15"/>
      <c r="E98" s="15"/>
      <c r="F98" s="16"/>
      <c r="G98" s="1"/>
      <c r="H98" s="14"/>
      <c r="I98" s="15"/>
      <c r="J98" s="15"/>
      <c r="K98" s="15"/>
      <c r="L98" s="16"/>
      <c r="M98" s="1"/>
      <c r="N98" s="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 t="str">
        <f t="shared" si="1"/>
        <v/>
      </c>
      <c r="AR98" s="1" t="str">
        <f t="shared" si="2"/>
        <v/>
      </c>
      <c r="AS98" s="1" t="str">
        <f t="shared" si="3"/>
        <v/>
      </c>
      <c r="AT98" s="1" t="str">
        <f t="shared" si="4"/>
        <v/>
      </c>
      <c r="AU98" s="1" t="str">
        <f t="shared" si="5"/>
        <v/>
      </c>
      <c r="AV98" s="1" t="str">
        <f t="shared" si="6"/>
        <v/>
      </c>
      <c r="AW98" s="17" t="str">
        <f t="shared" si="7"/>
        <v/>
      </c>
      <c r="AX98" s="1" t="str">
        <f t="shared" si="8"/>
        <v/>
      </c>
      <c r="AY98" s="1" t="str">
        <f t="shared" si="9"/>
        <v/>
      </c>
      <c r="AZ98" s="1" t="str">
        <f t="shared" si="10"/>
        <v/>
      </c>
    </row>
    <row r="99" ht="15.75" customHeight="1">
      <c r="A99" s="1"/>
      <c r="B99" s="14"/>
      <c r="C99" s="15"/>
      <c r="D99" s="15"/>
      <c r="E99" s="15"/>
      <c r="F99" s="16"/>
      <c r="G99" s="1"/>
      <c r="H99" s="14"/>
      <c r="I99" s="15"/>
      <c r="J99" s="15"/>
      <c r="K99" s="15"/>
      <c r="L99" s="16"/>
      <c r="M99" s="1"/>
      <c r="N99" s="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 t="str">
        <f t="shared" si="1"/>
        <v/>
      </c>
      <c r="AR99" s="1" t="str">
        <f t="shared" si="2"/>
        <v/>
      </c>
      <c r="AS99" s="1" t="str">
        <f t="shared" si="3"/>
        <v/>
      </c>
      <c r="AT99" s="1" t="str">
        <f t="shared" si="4"/>
        <v/>
      </c>
      <c r="AU99" s="1" t="str">
        <f t="shared" si="5"/>
        <v/>
      </c>
      <c r="AV99" s="1" t="str">
        <f t="shared" si="6"/>
        <v/>
      </c>
      <c r="AW99" s="17" t="str">
        <f t="shared" si="7"/>
        <v/>
      </c>
      <c r="AX99" s="1" t="str">
        <f t="shared" si="8"/>
        <v/>
      </c>
      <c r="AY99" s="1" t="str">
        <f t="shared" si="9"/>
        <v/>
      </c>
      <c r="AZ99" s="1" t="str">
        <f t="shared" si="10"/>
        <v/>
      </c>
    </row>
    <row r="100" ht="15.75" customHeight="1">
      <c r="A100" s="1"/>
      <c r="B100" s="14"/>
      <c r="C100" s="15"/>
      <c r="D100" s="15"/>
      <c r="E100" s="15"/>
      <c r="F100" s="16"/>
      <c r="G100" s="1"/>
      <c r="H100" s="14"/>
      <c r="I100" s="15"/>
      <c r="J100" s="15"/>
      <c r="K100" s="15"/>
      <c r="L100" s="16"/>
      <c r="M100" s="1"/>
      <c r="N100" s="6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 t="str">
        <f t="shared" si="1"/>
        <v/>
      </c>
      <c r="AR100" s="1" t="str">
        <f t="shared" si="2"/>
        <v/>
      </c>
      <c r="AS100" s="1" t="str">
        <f t="shared" si="3"/>
        <v/>
      </c>
      <c r="AT100" s="1" t="str">
        <f t="shared" si="4"/>
        <v/>
      </c>
      <c r="AU100" s="1" t="str">
        <f t="shared" si="5"/>
        <v/>
      </c>
      <c r="AV100" s="1" t="str">
        <f t="shared" si="6"/>
        <v/>
      </c>
      <c r="AW100" s="17" t="str">
        <f t="shared" si="7"/>
        <v/>
      </c>
      <c r="AX100" s="1" t="str">
        <f t="shared" si="8"/>
        <v/>
      </c>
      <c r="AY100" s="1" t="str">
        <f t="shared" si="9"/>
        <v/>
      </c>
      <c r="AZ100" s="1" t="str">
        <f t="shared" si="10"/>
        <v/>
      </c>
    </row>
    <row r="101" ht="15.75" customHeight="1">
      <c r="A101" s="1"/>
      <c r="B101" s="14"/>
      <c r="C101" s="15"/>
      <c r="D101" s="15"/>
      <c r="E101" s="15"/>
      <c r="F101" s="16"/>
      <c r="G101" s="1"/>
      <c r="H101" s="14"/>
      <c r="I101" s="15"/>
      <c r="J101" s="15"/>
      <c r="K101" s="15"/>
      <c r="L101" s="16"/>
      <c r="M101" s="1"/>
      <c r="N101" s="6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 t="str">
        <f t="shared" si="1"/>
        <v/>
      </c>
      <c r="AR101" s="1" t="str">
        <f t="shared" si="2"/>
        <v/>
      </c>
      <c r="AS101" s="1" t="str">
        <f t="shared" si="3"/>
        <v/>
      </c>
      <c r="AT101" s="1" t="str">
        <f t="shared" si="4"/>
        <v/>
      </c>
      <c r="AU101" s="1" t="str">
        <f t="shared" si="5"/>
        <v/>
      </c>
      <c r="AV101" s="1" t="str">
        <f t="shared" si="6"/>
        <v/>
      </c>
      <c r="AW101" s="17" t="str">
        <f t="shared" si="7"/>
        <v/>
      </c>
      <c r="AX101" s="1" t="str">
        <f t="shared" si="8"/>
        <v/>
      </c>
      <c r="AY101" s="1" t="str">
        <f t="shared" si="9"/>
        <v/>
      </c>
      <c r="AZ101" s="1" t="str">
        <f t="shared" si="10"/>
        <v/>
      </c>
    </row>
    <row r="102" ht="15.75" customHeight="1">
      <c r="A102" s="1"/>
      <c r="B102" s="14"/>
      <c r="C102" s="15"/>
      <c r="D102" s="15"/>
      <c r="E102" s="15"/>
      <c r="F102" s="16"/>
      <c r="G102" s="1"/>
      <c r="H102" s="14"/>
      <c r="I102" s="15"/>
      <c r="J102" s="15"/>
      <c r="K102" s="15"/>
      <c r="L102" s="16"/>
      <c r="M102" s="1"/>
      <c r="N102" s="6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 t="str">
        <f t="shared" si="1"/>
        <v/>
      </c>
      <c r="AR102" s="1" t="str">
        <f t="shared" si="2"/>
        <v/>
      </c>
      <c r="AS102" s="1" t="str">
        <f t="shared" si="3"/>
        <v/>
      </c>
      <c r="AT102" s="1" t="str">
        <f t="shared" si="4"/>
        <v/>
      </c>
      <c r="AU102" s="1" t="str">
        <f t="shared" si="5"/>
        <v/>
      </c>
      <c r="AV102" s="1" t="str">
        <f t="shared" si="6"/>
        <v/>
      </c>
      <c r="AW102" s="17" t="str">
        <f t="shared" si="7"/>
        <v/>
      </c>
      <c r="AX102" s="1" t="str">
        <f t="shared" si="8"/>
        <v/>
      </c>
      <c r="AY102" s="1" t="str">
        <f t="shared" si="9"/>
        <v/>
      </c>
      <c r="AZ102" s="1" t="str">
        <f t="shared" si="10"/>
        <v/>
      </c>
    </row>
    <row r="103" ht="15.75" customHeight="1">
      <c r="A103" s="1"/>
      <c r="B103" s="22"/>
      <c r="C103" s="23"/>
      <c r="D103" s="23"/>
      <c r="E103" s="23"/>
      <c r="F103" s="24"/>
      <c r="G103" s="1"/>
      <c r="H103" s="22"/>
      <c r="I103" s="23"/>
      <c r="J103" s="23"/>
      <c r="K103" s="23"/>
      <c r="L103" s="24"/>
      <c r="M103" s="1"/>
      <c r="N103" s="6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 t="str">
        <f t="shared" si="1"/>
        <v/>
      </c>
      <c r="AR103" s="1" t="str">
        <f t="shared" si="2"/>
        <v/>
      </c>
      <c r="AS103" s="1" t="str">
        <f t="shared" si="3"/>
        <v/>
      </c>
      <c r="AT103" s="1" t="str">
        <f t="shared" si="4"/>
        <v/>
      </c>
      <c r="AU103" s="1" t="str">
        <f t="shared" si="5"/>
        <v/>
      </c>
      <c r="AV103" s="1" t="str">
        <f t="shared" si="6"/>
        <v/>
      </c>
      <c r="AW103" s="17" t="str">
        <f t="shared" si="7"/>
        <v/>
      </c>
      <c r="AX103" s="1" t="str">
        <f t="shared" si="8"/>
        <v/>
      </c>
      <c r="AY103" s="1" t="str">
        <f t="shared" si="9"/>
        <v/>
      </c>
      <c r="AZ103" s="1" t="str">
        <f t="shared" si="10"/>
        <v/>
      </c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2">
    <mergeCell ref="B5:F5"/>
    <mergeCell ref="H5:L5"/>
  </mergeCells>
  <dataValidations>
    <dataValidation type="list" allowBlank="1" showErrorMessage="1" sqref="K7:K103">
      <formula1>"Hogar,Alimentación,Transporte,Provisiones,Deudas entidades,Deudas conocidos,Entretenimiento,Familia,Impuestos,Otros gastos"</formula1>
    </dataValidation>
    <dataValidation type="list" allowBlank="1" showErrorMessage="1" sqref="D7:D103 J7:J103">
      <formula1>"Mensual,Bimensual,Trimestral,Semestral,Anual"</formula1>
    </dataValidation>
    <dataValidation type="list" allowBlank="1" showErrorMessage="1" sqref="E7:E103">
      <formula1>"Salario,Negocio,Inversión,Otros ingresos"</formula1>
    </dataValidation>
    <dataValidation type="list" allowBlank="1" showErrorMessage="1" sqref="I7:I103">
      <formula1>"Necesario,No tan necesario,No necesario"</formula1>
    </dataValidation>
    <dataValidation type="list" allowBlank="1" showErrorMessage="1" sqref="C7:C103">
      <formula1>"Fijo,Variable"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1.14"/>
    <col customWidth="1" min="3" max="3" width="14.14"/>
    <col customWidth="1" min="4" max="4" width="15.86"/>
    <col customWidth="1" min="5" max="6" width="11.43"/>
    <col customWidth="1" min="7" max="7" width="12.57"/>
    <col customWidth="1" min="8" max="8" width="15.86"/>
    <col customWidth="1" min="9" max="10" width="12.57"/>
    <col customWidth="1" min="11" max="28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2"/>
      <c r="C6" s="25" t="s">
        <v>63</v>
      </c>
      <c r="D6" s="26"/>
      <c r="E6" s="26"/>
      <c r="F6" s="27"/>
      <c r="G6" s="25" t="s">
        <v>64</v>
      </c>
      <c r="H6" s="26"/>
      <c r="I6" s="26"/>
      <c r="J6" s="2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/>
      <c r="B7" s="28" t="s">
        <v>1</v>
      </c>
      <c r="C7" s="29" t="s">
        <v>11</v>
      </c>
      <c r="D7" s="30" t="s">
        <v>21</v>
      </c>
      <c r="E7" s="31"/>
      <c r="F7" s="32" t="s">
        <v>65</v>
      </c>
      <c r="G7" s="29" t="s">
        <v>11</v>
      </c>
      <c r="H7" s="33" t="s">
        <v>21</v>
      </c>
      <c r="I7" s="34"/>
      <c r="J7" s="32" t="s">
        <v>65</v>
      </c>
      <c r="K7" s="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35" t="s">
        <v>10</v>
      </c>
      <c r="C8" s="36">
        <f>SUMIFS('MIS FINANZAS'!$AW$7:$AW$103,'MIS FINANZAS'!$C$7:$C$103,$C$7,'MIS FINANZAS'!$E$7:$E$103,B8)</f>
        <v>4000000</v>
      </c>
      <c r="D8" s="37">
        <f>SUMIFS('MIS FINANZAS'!$AW$7:$AW$103,'MIS FINANZAS'!$C$7:$C$103,$D$7,'MIS FINANZAS'!$E$7:$E$103,B8)</f>
        <v>0</v>
      </c>
      <c r="E8" s="38"/>
      <c r="F8" s="39">
        <f t="shared" ref="F8:F11" si="2">C8+D8</f>
        <v>4000000</v>
      </c>
      <c r="G8" s="36">
        <f t="shared" ref="G8:H8" si="1">C8*12</f>
        <v>48000000</v>
      </c>
      <c r="H8" s="37">
        <f t="shared" si="1"/>
        <v>0</v>
      </c>
      <c r="I8" s="38"/>
      <c r="J8" s="39">
        <f t="shared" ref="J8:J11" si="4">F8*12</f>
        <v>48000000</v>
      </c>
      <c r="K8" s="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4" t="s">
        <v>23</v>
      </c>
      <c r="C9" s="40">
        <f>SUMIFS('MIS FINANZAS'!$AW$7:$AW$103,'MIS FINANZAS'!$C$7:$C$103,$C$7,'MIS FINANZAS'!$E$7:$E$103,B9)</f>
        <v>0</v>
      </c>
      <c r="D9" s="41">
        <f>SUMIFS('MIS FINANZAS'!$AW$7:$AW$103,'MIS FINANZAS'!$C$7:$C$103,$D$7,'MIS FINANZAS'!$E$7:$E$103,B9)</f>
        <v>1166666.667</v>
      </c>
      <c r="E9" s="42"/>
      <c r="F9" s="43">
        <f t="shared" si="2"/>
        <v>1166666.667</v>
      </c>
      <c r="G9" s="40">
        <f t="shared" ref="G9:H9" si="3">C9*12</f>
        <v>0</v>
      </c>
      <c r="H9" s="41">
        <f t="shared" si="3"/>
        <v>14000000</v>
      </c>
      <c r="I9" s="42"/>
      <c r="J9" s="43">
        <f t="shared" si="4"/>
        <v>14000000</v>
      </c>
      <c r="K9" s="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4" t="s">
        <v>28</v>
      </c>
      <c r="C10" s="40">
        <f>SUMIFS('MIS FINANZAS'!$AW$7:$AW$103,'MIS FINANZAS'!$C$7:$C$103,$C$7,'MIS FINANZAS'!$E$7:$E$103,B10)</f>
        <v>0</v>
      </c>
      <c r="D10" s="41">
        <f>SUMIFS('MIS FINANZAS'!$AW$7:$AW$103,'MIS FINANZAS'!$C$7:$C$103,$D$7,'MIS FINANZAS'!$E$7:$E$103,B10)</f>
        <v>166666.6667</v>
      </c>
      <c r="E10" s="42"/>
      <c r="F10" s="43">
        <f t="shared" si="2"/>
        <v>166666.6667</v>
      </c>
      <c r="G10" s="40">
        <f t="shared" ref="G10:H10" si="5">C10*12</f>
        <v>0</v>
      </c>
      <c r="H10" s="41">
        <f t="shared" si="5"/>
        <v>2000000</v>
      </c>
      <c r="I10" s="42"/>
      <c r="J10" s="43">
        <f t="shared" si="4"/>
        <v>2000000</v>
      </c>
      <c r="K10" s="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4" t="s">
        <v>18</v>
      </c>
      <c r="C11" s="40">
        <f>SUMIFS('MIS FINANZAS'!$AW$7:$AW$103,'MIS FINANZAS'!$C$7:$C$103,$C$7,'MIS FINANZAS'!$E$7:$E$103,B11)</f>
        <v>333333.3333</v>
      </c>
      <c r="D11" s="41">
        <f>SUMIFS('MIS FINANZAS'!$AW$7:$AW$103,'MIS FINANZAS'!$C$7:$C$103,$D$7,'MIS FINANZAS'!$E$7:$E$103,B11)</f>
        <v>1533333.333</v>
      </c>
      <c r="E11" s="42"/>
      <c r="F11" s="43">
        <f t="shared" si="2"/>
        <v>1866666.667</v>
      </c>
      <c r="G11" s="40">
        <f t="shared" ref="G11:H11" si="6">C11*12</f>
        <v>4000000</v>
      </c>
      <c r="H11" s="41">
        <f t="shared" si="6"/>
        <v>18400000</v>
      </c>
      <c r="I11" s="42"/>
      <c r="J11" s="43">
        <f t="shared" si="4"/>
        <v>22400000</v>
      </c>
      <c r="K11" s="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44" t="s">
        <v>66</v>
      </c>
      <c r="C12" s="45">
        <f t="shared" ref="C12:D12" si="7">SUM(C8:C11)</f>
        <v>4333333.333</v>
      </c>
      <c r="D12" s="46">
        <f t="shared" si="7"/>
        <v>2866666.667</v>
      </c>
      <c r="E12" s="47"/>
      <c r="F12" s="47">
        <f t="shared" ref="F12:H12" si="8">SUM(F8:F11)</f>
        <v>7200000</v>
      </c>
      <c r="G12" s="45">
        <f t="shared" si="8"/>
        <v>52000000</v>
      </c>
      <c r="H12" s="46">
        <f t="shared" si="8"/>
        <v>34400000</v>
      </c>
      <c r="I12" s="47"/>
      <c r="J12" s="48">
        <f>SUM(J8:J11)</f>
        <v>86400000</v>
      </c>
      <c r="K12" s="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28" t="s">
        <v>2</v>
      </c>
      <c r="C13" s="49" t="s">
        <v>14</v>
      </c>
      <c r="D13" s="50" t="s">
        <v>38</v>
      </c>
      <c r="E13" s="51" t="s">
        <v>46</v>
      </c>
      <c r="F13" s="52" t="s">
        <v>65</v>
      </c>
      <c r="G13" s="53" t="s">
        <v>14</v>
      </c>
      <c r="H13" s="50" t="s">
        <v>38</v>
      </c>
      <c r="I13" s="51" t="s">
        <v>46</v>
      </c>
      <c r="J13" s="54" t="s">
        <v>65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35" t="s">
        <v>15</v>
      </c>
      <c r="C14" s="55">
        <f>SUMIFS('MIS FINANZAS'!$AZ:$AZ,'MIS FINANZAS'!AX:AX,PRESUPUESTO!$C$13,'MIS FINANZAS'!AY:AY,PRESUPUESTO!B14)</f>
        <v>2085000</v>
      </c>
      <c r="D14" s="56">
        <f>SUMIFS('MIS FINANZAS'!$AZ:$AZ,'MIS FINANZAS'!AX:AX,PRESUPUESTO!$D$13,'MIS FINANZAS'!AY:AY,PRESUPUESTO!B14)</f>
        <v>0</v>
      </c>
      <c r="E14" s="56">
        <f>SUMIFS('MIS FINANZAS'!$AZ:$AZ,'MIS FINANZAS'!AX:AX,PRESUPUESTO!$E$13,'MIS FINANZAS'!AY:AY,PRESUPUESTO!B14)</f>
        <v>0</v>
      </c>
      <c r="F14" s="57">
        <f t="shared" ref="F14:F23" si="10">C14+D14+E14</f>
        <v>2085000</v>
      </c>
      <c r="G14" s="55">
        <f t="shared" ref="G14:J14" si="9">C14*12</f>
        <v>25020000</v>
      </c>
      <c r="H14" s="56">
        <f t="shared" si="9"/>
        <v>0</v>
      </c>
      <c r="I14" s="56">
        <f t="shared" si="9"/>
        <v>0</v>
      </c>
      <c r="J14" s="57">
        <f t="shared" si="9"/>
        <v>25020000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4" t="s">
        <v>25</v>
      </c>
      <c r="C15" s="40">
        <f>SUMIFS('MIS FINANZAS'!$AZ:$AZ,'MIS FINANZAS'!AX:AX,PRESUPUESTO!$C$13,'MIS FINANZAS'!AY:AY,PRESUPUESTO!B15)</f>
        <v>500000</v>
      </c>
      <c r="D15" s="41">
        <f>SUMIFS('MIS FINANZAS'!$AZ:$AZ,'MIS FINANZAS'!AX:AX,PRESUPUESTO!$D$13,'MIS FINANZAS'!AY:AY,PRESUPUESTO!B15)</f>
        <v>0</v>
      </c>
      <c r="E15" s="41">
        <f>SUMIFS('MIS FINANZAS'!$AZ:$AZ,'MIS FINANZAS'!AX:AX,PRESUPUESTO!$E$13,'MIS FINANZAS'!AY:AY,PRESUPUESTO!B15)</f>
        <v>400000</v>
      </c>
      <c r="F15" s="43">
        <f t="shared" si="10"/>
        <v>900000</v>
      </c>
      <c r="G15" s="40">
        <f t="shared" ref="G15:J15" si="11">C15*12</f>
        <v>6000000</v>
      </c>
      <c r="H15" s="41">
        <f t="shared" si="11"/>
        <v>0</v>
      </c>
      <c r="I15" s="41">
        <f t="shared" si="11"/>
        <v>4800000</v>
      </c>
      <c r="J15" s="43">
        <f t="shared" si="11"/>
        <v>10800000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4" t="s">
        <v>41</v>
      </c>
      <c r="C16" s="40">
        <f>SUMIFS('MIS FINANZAS'!$AZ:$AZ,'MIS FINANZAS'!AX:AX,PRESUPUESTO!$C$13,'MIS FINANZAS'!AY:AY,PRESUPUESTO!B16)</f>
        <v>316666.6667</v>
      </c>
      <c r="D16" s="41">
        <f>SUMIFS('MIS FINANZAS'!$AZ:$AZ,'MIS FINANZAS'!AX:AX,PRESUPUESTO!$D$13,'MIS FINANZAS'!AY:AY,PRESUPUESTO!B16)</f>
        <v>223333.3333</v>
      </c>
      <c r="E16" s="41">
        <f>SUMIFS('MIS FINANZAS'!$AZ:$AZ,'MIS FINANZAS'!AX:AX,PRESUPUESTO!$E$13,'MIS FINANZAS'!AY:AY,PRESUPUESTO!B16)</f>
        <v>0</v>
      </c>
      <c r="F16" s="43">
        <f t="shared" si="10"/>
        <v>540000</v>
      </c>
      <c r="G16" s="40">
        <f t="shared" ref="G16:J16" si="12">C16*12</f>
        <v>3800000</v>
      </c>
      <c r="H16" s="41">
        <f t="shared" si="12"/>
        <v>2680000</v>
      </c>
      <c r="I16" s="41">
        <f t="shared" si="12"/>
        <v>0</v>
      </c>
      <c r="J16" s="43">
        <f t="shared" si="12"/>
        <v>6480000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20" t="s">
        <v>36</v>
      </c>
      <c r="C17" s="40">
        <f>SUMIFS('MIS FINANZAS'!$AZ:$AZ,'MIS FINANZAS'!AX:AX,PRESUPUESTO!$C$13,'MIS FINANZAS'!AY:AY,PRESUPUESTO!B17)</f>
        <v>200000</v>
      </c>
      <c r="D17" s="41">
        <f>SUMIFS('MIS FINANZAS'!$AZ:$AZ,'MIS FINANZAS'!AX:AX,PRESUPUESTO!$D$13,'MIS FINANZAS'!AY:AY,PRESUPUESTO!B17)</f>
        <v>0</v>
      </c>
      <c r="E17" s="41">
        <f>SUMIFS('MIS FINANZAS'!$AZ:$AZ,'MIS FINANZAS'!AX:AX,PRESUPUESTO!$E$13,'MIS FINANZAS'!AY:AY,PRESUPUESTO!B17)</f>
        <v>0</v>
      </c>
      <c r="F17" s="43">
        <f t="shared" si="10"/>
        <v>200000</v>
      </c>
      <c r="G17" s="40">
        <f t="shared" ref="G17:J17" si="13">C17*12</f>
        <v>2400000</v>
      </c>
      <c r="H17" s="41">
        <f t="shared" si="13"/>
        <v>0</v>
      </c>
      <c r="I17" s="41">
        <f t="shared" si="13"/>
        <v>0</v>
      </c>
      <c r="J17" s="43">
        <f t="shared" si="13"/>
        <v>2400000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0" t="s">
        <v>51</v>
      </c>
      <c r="C18" s="40">
        <f>SUMIFS('MIS FINANZAS'!$AZ:$AZ,'MIS FINANZAS'!AX:AX,PRESUPUESTO!$C$13,'MIS FINANZAS'!AY:AY,PRESUPUESTO!B18)</f>
        <v>1200000</v>
      </c>
      <c r="D18" s="41">
        <f>SUMIFS('MIS FINANZAS'!$AZ:$AZ,'MIS FINANZAS'!AX:AX,PRESUPUESTO!$D$13,'MIS FINANZAS'!AY:AY,PRESUPUESTO!B18)</f>
        <v>0</v>
      </c>
      <c r="E18" s="41">
        <f>SUMIFS('MIS FINANZAS'!$AZ:$AZ,'MIS FINANZAS'!AX:AX,PRESUPUESTO!$E$13,'MIS FINANZAS'!AY:AY,PRESUPUESTO!B18)</f>
        <v>0</v>
      </c>
      <c r="F18" s="43">
        <f t="shared" si="10"/>
        <v>1200000</v>
      </c>
      <c r="G18" s="40">
        <f t="shared" ref="G18:J18" si="14">C18*12</f>
        <v>14400000</v>
      </c>
      <c r="H18" s="41">
        <f t="shared" si="14"/>
        <v>0</v>
      </c>
      <c r="I18" s="41">
        <f t="shared" si="14"/>
        <v>0</v>
      </c>
      <c r="J18" s="43">
        <f t="shared" si="14"/>
        <v>14400000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0" t="s">
        <v>67</v>
      </c>
      <c r="C19" s="40">
        <f>SUMIFS('MIS FINANZAS'!$AZ:$AZ,'MIS FINANZAS'!AX:AX,PRESUPUESTO!$C$13,'MIS FINANZAS'!AY:AY,PRESUPUESTO!B19)</f>
        <v>0</v>
      </c>
      <c r="D19" s="41">
        <f>SUMIFS('MIS FINANZAS'!$AZ:$AZ,'MIS FINANZAS'!AX:AX,PRESUPUESTO!$D$13,'MIS FINANZAS'!AY:AY,PRESUPUESTO!B19)</f>
        <v>0</v>
      </c>
      <c r="E19" s="41">
        <f>SUMIFS('MIS FINANZAS'!$AZ:$AZ,'MIS FINANZAS'!AX:AX,PRESUPUESTO!$E$13,'MIS FINANZAS'!AY:AY,PRESUPUESTO!B19)</f>
        <v>0</v>
      </c>
      <c r="F19" s="43">
        <f t="shared" si="10"/>
        <v>0</v>
      </c>
      <c r="G19" s="40">
        <f t="shared" ref="G19:J19" si="15">C19*12</f>
        <v>0</v>
      </c>
      <c r="H19" s="41">
        <f t="shared" si="15"/>
        <v>0</v>
      </c>
      <c r="I19" s="41">
        <f t="shared" si="15"/>
        <v>0</v>
      </c>
      <c r="J19" s="43">
        <f t="shared" si="15"/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4" t="s">
        <v>53</v>
      </c>
      <c r="C20" s="40">
        <f>SUMIFS('MIS FINANZAS'!$AZ:$AZ,'MIS FINANZAS'!AX:AX,PRESUPUESTO!$C$13,'MIS FINANZAS'!AY:AY,PRESUPUESTO!B20)</f>
        <v>0</v>
      </c>
      <c r="D20" s="41">
        <f>SUMIFS('MIS FINANZAS'!$AZ:$AZ,'MIS FINANZAS'!AX:AX,PRESUPUESTO!$D$13,'MIS FINANZAS'!AY:AY,PRESUPUESTO!B20)</f>
        <v>666666.6667</v>
      </c>
      <c r="E20" s="41">
        <f>SUMIFS('MIS FINANZAS'!$AZ:$AZ,'MIS FINANZAS'!AX:AX,PRESUPUESTO!$E$13,'MIS FINANZAS'!AY:AY,PRESUPUESTO!B20)</f>
        <v>1050000</v>
      </c>
      <c r="F20" s="43">
        <f t="shared" si="10"/>
        <v>1716666.667</v>
      </c>
      <c r="G20" s="40">
        <f t="shared" ref="G20:J20" si="16">C20*12</f>
        <v>0</v>
      </c>
      <c r="H20" s="41">
        <f t="shared" si="16"/>
        <v>8000000</v>
      </c>
      <c r="I20" s="41">
        <f t="shared" si="16"/>
        <v>12600000</v>
      </c>
      <c r="J20" s="43">
        <f t="shared" si="16"/>
        <v>20600000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4" t="s">
        <v>47</v>
      </c>
      <c r="C21" s="40">
        <f>SUMIFS('MIS FINANZAS'!$AZ:$AZ,'MIS FINANZAS'!AX:AX,PRESUPUESTO!$C$13,'MIS FINANZAS'!AY:AY,PRESUPUESTO!B21)</f>
        <v>550000</v>
      </c>
      <c r="D21" s="41">
        <f>SUMIFS('MIS FINANZAS'!$AZ:$AZ,'MIS FINANZAS'!AX:AX,PRESUPUESTO!$D$13,'MIS FINANZAS'!AY:AY,PRESUPUESTO!B21)</f>
        <v>120000</v>
      </c>
      <c r="E21" s="41">
        <f>SUMIFS('MIS FINANZAS'!$AZ:$AZ,'MIS FINANZAS'!AX:AX,PRESUPUESTO!$E$13,'MIS FINANZAS'!AY:AY,PRESUPUESTO!B21)</f>
        <v>170000</v>
      </c>
      <c r="F21" s="43">
        <f t="shared" si="10"/>
        <v>840000</v>
      </c>
      <c r="G21" s="40">
        <f t="shared" ref="G21:J21" si="17">C21*12</f>
        <v>6600000</v>
      </c>
      <c r="H21" s="41">
        <f t="shared" si="17"/>
        <v>1440000</v>
      </c>
      <c r="I21" s="41">
        <f t="shared" si="17"/>
        <v>2040000</v>
      </c>
      <c r="J21" s="43">
        <f t="shared" si="17"/>
        <v>10080000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20" t="s">
        <v>58</v>
      </c>
      <c r="C22" s="40">
        <f>SUMIFS('MIS FINANZAS'!$AZ:$AZ,'MIS FINANZAS'!AX:AX,PRESUPUESTO!$C$13,'MIS FINANZAS'!AY:AY,PRESUPUESTO!B22)</f>
        <v>108333.3333</v>
      </c>
      <c r="D22" s="41">
        <f>SUMIFS('MIS FINANZAS'!$AZ:$AZ,'MIS FINANZAS'!AX:AX,PRESUPUESTO!$D$13,'MIS FINANZAS'!AY:AY,PRESUPUESTO!B22)</f>
        <v>0</v>
      </c>
      <c r="E22" s="41">
        <f>SUMIFS('MIS FINANZAS'!$AZ:$AZ,'MIS FINANZAS'!AX:AX,PRESUPUESTO!$E$13,'MIS FINANZAS'!AY:AY,PRESUPUESTO!B22)</f>
        <v>0</v>
      </c>
      <c r="F22" s="43">
        <f t="shared" si="10"/>
        <v>108333.3333</v>
      </c>
      <c r="G22" s="40">
        <f t="shared" ref="G22:J22" si="18">C22*12</f>
        <v>1300000</v>
      </c>
      <c r="H22" s="41">
        <f t="shared" si="18"/>
        <v>0</v>
      </c>
      <c r="I22" s="41">
        <f t="shared" si="18"/>
        <v>0</v>
      </c>
      <c r="J22" s="43">
        <f t="shared" si="18"/>
        <v>1300000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4" t="s">
        <v>39</v>
      </c>
      <c r="C23" s="40">
        <f>SUMIFS('MIS FINANZAS'!$AZ:$AZ,'MIS FINANZAS'!AX:AX,PRESUPUESTO!$C$13,'MIS FINANZAS'!AY:AY,PRESUPUESTO!B23)</f>
        <v>100000</v>
      </c>
      <c r="D23" s="41">
        <f>SUMIFS('MIS FINANZAS'!$AZ:$AZ,'MIS FINANZAS'!AX:AX,PRESUPUESTO!$D$13,'MIS FINANZAS'!AY:AY,PRESUPUESTO!B23)</f>
        <v>655000</v>
      </c>
      <c r="E23" s="41">
        <f>SUMIFS('MIS FINANZAS'!$AZ:$AZ,'MIS FINANZAS'!AX:AX,PRESUPUESTO!$E$13,'MIS FINANZAS'!AY:AY,PRESUPUESTO!B23)</f>
        <v>0</v>
      </c>
      <c r="F23" s="43">
        <f t="shared" si="10"/>
        <v>755000</v>
      </c>
      <c r="G23" s="40">
        <f t="shared" ref="G23:J23" si="19">C23*12</f>
        <v>1200000</v>
      </c>
      <c r="H23" s="41">
        <f t="shared" si="19"/>
        <v>7860000</v>
      </c>
      <c r="I23" s="41">
        <f t="shared" si="19"/>
        <v>0</v>
      </c>
      <c r="J23" s="43">
        <f t="shared" si="19"/>
        <v>9060000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44" t="s">
        <v>68</v>
      </c>
      <c r="C24" s="58">
        <f t="shared" ref="C24:J24" si="20">SUM(C14:C23)</f>
        <v>5060000</v>
      </c>
      <c r="D24" s="59">
        <f t="shared" si="20"/>
        <v>1665000</v>
      </c>
      <c r="E24" s="59">
        <f t="shared" si="20"/>
        <v>1620000</v>
      </c>
      <c r="F24" s="60">
        <f t="shared" si="20"/>
        <v>8345000</v>
      </c>
      <c r="G24" s="58">
        <f t="shared" si="20"/>
        <v>60720000</v>
      </c>
      <c r="H24" s="59">
        <f t="shared" si="20"/>
        <v>19980000</v>
      </c>
      <c r="I24" s="59">
        <f t="shared" si="20"/>
        <v>19440000</v>
      </c>
      <c r="J24" s="60">
        <f t="shared" si="20"/>
        <v>100140000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61"/>
      <c r="C25" s="61"/>
      <c r="D25" s="62"/>
      <c r="E25" s="62"/>
      <c r="F25" s="62"/>
      <c r="G25" s="62"/>
      <c r="H25" s="62"/>
      <c r="I25" s="62"/>
      <c r="J25" s="6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62"/>
      <c r="C26" s="64" t="s">
        <v>69</v>
      </c>
      <c r="D26" s="65" t="s">
        <v>70</v>
      </c>
      <c r="E26" s="66"/>
      <c r="F26" s="64" t="s">
        <v>71</v>
      </c>
      <c r="G26" s="64" t="s">
        <v>69</v>
      </c>
      <c r="H26" s="65" t="s">
        <v>70</v>
      </c>
      <c r="I26" s="66"/>
      <c r="J26" s="64" t="s">
        <v>71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3"/>
      <c r="B27" s="25" t="s">
        <v>72</v>
      </c>
      <c r="C27" s="67">
        <f>C12-C24</f>
        <v>-726666.6667</v>
      </c>
      <c r="D27" s="67">
        <f>D12-(D24+E24)</f>
        <v>-418333.3333</v>
      </c>
      <c r="E27" s="26"/>
      <c r="F27" s="67">
        <f t="shared" ref="F27:G27" si="21">F12-F24</f>
        <v>-1145000</v>
      </c>
      <c r="G27" s="67">
        <f t="shared" si="21"/>
        <v>-8720000</v>
      </c>
      <c r="H27" s="67">
        <f>H12-(H24+I24)</f>
        <v>-5020000</v>
      </c>
      <c r="I27" s="26"/>
      <c r="J27" s="68">
        <f>J12-J24</f>
        <v>-13740000</v>
      </c>
      <c r="K27" s="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3"/>
      <c r="B28" s="69" t="s">
        <v>73</v>
      </c>
      <c r="C28" s="70">
        <f>C12/C24</f>
        <v>0.8563899868</v>
      </c>
      <c r="D28" s="70">
        <f>D12/(D24+E24)</f>
        <v>0.8726534754</v>
      </c>
      <c r="E28" s="71"/>
      <c r="F28" s="70">
        <f t="shared" ref="F28:G28" si="22">F12/F24</f>
        <v>0.8627920911</v>
      </c>
      <c r="G28" s="70">
        <f t="shared" si="22"/>
        <v>0.8563899868</v>
      </c>
      <c r="H28" s="70">
        <f>H12/(H24+I24)</f>
        <v>0.8726534754</v>
      </c>
      <c r="I28" s="71"/>
      <c r="J28" s="72">
        <f>J12/J24</f>
        <v>0.8627920911</v>
      </c>
      <c r="K28" s="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/>
      <c r="B29" s="7"/>
      <c r="C29" s="7"/>
      <c r="D29" s="7"/>
      <c r="E29" s="7"/>
      <c r="F29" s="7"/>
      <c r="G29" s="7"/>
      <c r="H29" s="7"/>
      <c r="I29" s="7"/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73" t="s">
        <v>1</v>
      </c>
      <c r="C30" s="7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75" t="s">
        <v>10</v>
      </c>
      <c r="C31" s="76">
        <f t="shared" ref="C31:C34" si="23">F8/$F$12</f>
        <v>0.5555555556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77" t="s">
        <v>23</v>
      </c>
      <c r="C32" s="78">
        <f t="shared" si="23"/>
        <v>0.162037037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77" t="s">
        <v>28</v>
      </c>
      <c r="C33" s="78">
        <f t="shared" si="23"/>
        <v>0.02314814815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79" t="s">
        <v>18</v>
      </c>
      <c r="C34" s="80">
        <f t="shared" si="23"/>
        <v>0.2592592593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81" t="s">
        <v>2</v>
      </c>
      <c r="C36" s="8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83" t="s">
        <v>15</v>
      </c>
      <c r="C37" s="76">
        <f t="shared" ref="C37:C46" si="24">F14/$F$24</f>
        <v>0.2498502097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84" t="s">
        <v>25</v>
      </c>
      <c r="C38" s="78">
        <f t="shared" si="24"/>
        <v>0.1078490114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84" t="s">
        <v>41</v>
      </c>
      <c r="C39" s="78">
        <f t="shared" si="24"/>
        <v>0.06470940683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85" t="s">
        <v>36</v>
      </c>
      <c r="C40" s="78">
        <f t="shared" si="24"/>
        <v>0.02396644697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85" t="s">
        <v>74</v>
      </c>
      <c r="C41" s="78">
        <f t="shared" si="24"/>
        <v>0.1437986818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85" t="s">
        <v>75</v>
      </c>
      <c r="C42" s="78">
        <f t="shared" si="24"/>
        <v>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84" t="s">
        <v>53</v>
      </c>
      <c r="C43" s="78">
        <f t="shared" si="24"/>
        <v>0.2057120032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84" t="s">
        <v>47</v>
      </c>
      <c r="C44" s="78">
        <f t="shared" si="24"/>
        <v>0.1006590773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86" t="s">
        <v>58</v>
      </c>
      <c r="C45" s="87">
        <f t="shared" si="24"/>
        <v>0.01298182544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88" t="s">
        <v>39</v>
      </c>
      <c r="C46" s="80">
        <f t="shared" si="24"/>
        <v>0.09047333733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73" t="s">
        <v>76</v>
      </c>
      <c r="C48" s="89"/>
      <c r="D48" s="7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83" t="s">
        <v>11</v>
      </c>
      <c r="C49" s="90">
        <f t="shared" ref="C49:C50" si="25">D49/$F$12</f>
        <v>0.6018518519</v>
      </c>
      <c r="D49" s="91">
        <f>SUMIF('MIS FINANZAS'!$AU$7:$AU$103,PRESUPUESTO!B49,'MIS FINANZAS'!$AW$7:$AW$103)</f>
        <v>4333333.333</v>
      </c>
      <c r="E49" s="9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93" t="s">
        <v>21</v>
      </c>
      <c r="C50" s="94">
        <f t="shared" si="25"/>
        <v>0.3981481481</v>
      </c>
      <c r="D50" s="95">
        <f>SUMIF('MIS FINANZAS'!$AU$7:$AU$103,PRESUPUESTO!B50,'MIS FINANZAS'!$AW$7:$AW$103)</f>
        <v>2866666.667</v>
      </c>
      <c r="E50" s="9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81" t="s">
        <v>77</v>
      </c>
      <c r="C52" s="97"/>
      <c r="D52" s="8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83" t="s">
        <v>14</v>
      </c>
      <c r="C53" s="90">
        <f t="shared" ref="C53:C55" si="26">D53/$F$24</f>
        <v>0.6063511084</v>
      </c>
      <c r="D53" s="91">
        <f>SUMIF('MIS FINANZAS'!$AX$7:$AX$103,PRESUPUESTO!B53,'MIS FINANZAS'!$AZ$7:$AZ$103)</f>
        <v>5060000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98" t="s">
        <v>38</v>
      </c>
      <c r="C54" s="99">
        <f t="shared" si="26"/>
        <v>0.1995206711</v>
      </c>
      <c r="D54" s="100">
        <f>SUMIF('MIS FINANZAS'!$AX$7:$AX$103,PRESUPUESTO!B54,'MIS FINANZAS'!$AZ$7:$AZ$103)</f>
        <v>1665000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93" t="s">
        <v>46</v>
      </c>
      <c r="C55" s="94">
        <f t="shared" si="26"/>
        <v>0.1941282205</v>
      </c>
      <c r="D55" s="95">
        <f>SUMIF('MIS FINANZAS'!$AX$7:$AX$103,PRESUPUESTO!B55,'MIS FINANZAS'!$AZ$7:$AZ$103)</f>
        <v>1620000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</sheetData>
  <mergeCells count="13">
    <mergeCell ref="H27:I27"/>
    <mergeCell ref="H28:I28"/>
    <mergeCell ref="B30:C30"/>
    <mergeCell ref="B36:C36"/>
    <mergeCell ref="B48:D48"/>
    <mergeCell ref="B52:D52"/>
    <mergeCell ref="C6:F6"/>
    <mergeCell ref="G6:J6"/>
    <mergeCell ref="D7:E7"/>
    <mergeCell ref="D26:E26"/>
    <mergeCell ref="H26:I26"/>
    <mergeCell ref="D27:E27"/>
    <mergeCell ref="D28:E28"/>
  </mergeCells>
  <conditionalFormatting sqref="C28:J28">
    <cfRule type="cellIs" dxfId="0" priority="1" operator="lessThan">
      <formula>1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2.29"/>
    <col customWidth="1" min="3" max="4" width="18.29"/>
    <col customWidth="1" min="5" max="5" width="23.71"/>
    <col customWidth="1" min="6" max="24" width="11.43"/>
    <col customWidth="1" hidden="1" min="25" max="31" width="11.43"/>
    <col customWidth="1" hidden="1" min="32" max="32" width="19.71"/>
    <col customWidth="1" hidden="1" min="33" max="43" width="11.43"/>
  </cols>
  <sheetData>
    <row r="1">
      <c r="A1" s="1"/>
      <c r="B1" s="1"/>
      <c r="C1" s="101"/>
      <c r="D1" s="10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02"/>
      <c r="AK1" s="1"/>
      <c r="AL1" s="102"/>
      <c r="AM1" s="102"/>
      <c r="AN1" s="102"/>
      <c r="AO1" s="102"/>
      <c r="AP1" s="102"/>
      <c r="AQ1" s="102"/>
    </row>
    <row r="2">
      <c r="A2" s="1"/>
      <c r="B2" s="1"/>
      <c r="C2" s="101"/>
      <c r="D2" s="10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02"/>
      <c r="AK2" s="1"/>
      <c r="AL2" s="102"/>
      <c r="AM2" s="102"/>
      <c r="AN2" s="102"/>
      <c r="AO2" s="102"/>
      <c r="AP2" s="102"/>
      <c r="AQ2" s="102"/>
    </row>
    <row r="3">
      <c r="A3" s="1"/>
      <c r="B3" s="1"/>
      <c r="C3" s="101"/>
      <c r="D3" s="10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02"/>
      <c r="AK3" s="1"/>
      <c r="AL3" s="102"/>
      <c r="AM3" s="102"/>
      <c r="AN3" s="102"/>
      <c r="AO3" s="102"/>
      <c r="AP3" s="102"/>
      <c r="AQ3" s="102"/>
    </row>
    <row r="4">
      <c r="A4" s="1"/>
      <c r="B4" s="1"/>
      <c r="C4" s="101"/>
      <c r="D4" s="10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02"/>
      <c r="AK4" s="1"/>
      <c r="AL4" s="102"/>
      <c r="AM4" s="102"/>
      <c r="AN4" s="102"/>
      <c r="AO4" s="102"/>
      <c r="AP4" s="102"/>
      <c r="AQ4" s="102"/>
    </row>
    <row r="5">
      <c r="A5" s="1"/>
      <c r="B5" s="1"/>
      <c r="C5" s="103"/>
      <c r="D5" s="10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02"/>
      <c r="AK5" s="1"/>
      <c r="AL5" s="102"/>
      <c r="AM5" s="102"/>
      <c r="AN5" s="102"/>
      <c r="AO5" s="102"/>
      <c r="AP5" s="102"/>
      <c r="AQ5" s="102"/>
    </row>
    <row r="6">
      <c r="A6" s="1"/>
      <c r="B6" s="96"/>
      <c r="C6" s="104" t="s">
        <v>78</v>
      </c>
      <c r="D6" s="105" t="s">
        <v>79</v>
      </c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02"/>
      <c r="AK6" s="1"/>
      <c r="AL6" s="102"/>
      <c r="AM6" s="102"/>
      <c r="AN6" s="102"/>
      <c r="AO6" s="102"/>
      <c r="AP6" s="102"/>
      <c r="AQ6" s="102"/>
    </row>
    <row r="7">
      <c r="A7" s="3"/>
      <c r="B7" s="106" t="s">
        <v>80</v>
      </c>
      <c r="C7" s="107">
        <f>SUMIF(C17:C118,"No necesario",D17:D118)</f>
        <v>1620000</v>
      </c>
      <c r="D7" s="108">
        <f>SUMIF(C17:C118,"No necesario",E17:E118)</f>
        <v>500000</v>
      </c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02"/>
      <c r="AK7" s="1"/>
      <c r="AL7" s="102"/>
      <c r="AM7" s="102"/>
      <c r="AN7" s="102"/>
      <c r="AO7" s="102"/>
      <c r="AP7" s="102"/>
      <c r="AQ7" s="102"/>
    </row>
    <row r="8">
      <c r="A8" s="3"/>
      <c r="B8" s="109" t="s">
        <v>81</v>
      </c>
      <c r="C8" s="110">
        <f>SUMIF(C17:C118,"No tan necesario",D17:D118)</f>
        <v>1665000</v>
      </c>
      <c r="D8" s="111">
        <f>SUMIF(C17:C118,"No tan necesario",E17:E118)</f>
        <v>715000</v>
      </c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02"/>
      <c r="AK8" s="1"/>
      <c r="AL8" s="102"/>
      <c r="AM8" s="102"/>
      <c r="AN8" s="102"/>
      <c r="AO8" s="102"/>
      <c r="AP8" s="102"/>
      <c r="AQ8" s="102"/>
    </row>
    <row r="9">
      <c r="A9" s="3"/>
      <c r="B9" s="109" t="s">
        <v>82</v>
      </c>
      <c r="C9" s="110">
        <f t="shared" ref="C9:D9" si="1">C8+C7</f>
        <v>3285000</v>
      </c>
      <c r="D9" s="111">
        <f t="shared" si="1"/>
        <v>1215000</v>
      </c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02"/>
      <c r="AK9" s="1"/>
      <c r="AL9" s="102"/>
      <c r="AM9" s="102"/>
      <c r="AN9" s="102"/>
      <c r="AO9" s="102"/>
      <c r="AP9" s="102"/>
      <c r="AQ9" s="102"/>
    </row>
    <row r="10">
      <c r="A10" s="3"/>
      <c r="B10" s="112" t="s">
        <v>72</v>
      </c>
      <c r="C10" s="113">
        <f>PRESUPUESTO!F27</f>
        <v>-1145000</v>
      </c>
      <c r="D10" s="114">
        <f>(C9-D9)+C10</f>
        <v>925000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02"/>
      <c r="AK10" s="1"/>
      <c r="AL10" s="102"/>
      <c r="AM10" s="102"/>
      <c r="AN10" s="102"/>
      <c r="AO10" s="102"/>
      <c r="AP10" s="102"/>
      <c r="AQ10" s="102"/>
    </row>
    <row r="11">
      <c r="A11" s="1"/>
      <c r="B11" s="7"/>
      <c r="C11" s="7"/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02"/>
      <c r="AK11" s="1"/>
      <c r="AL11" s="102"/>
      <c r="AM11" s="102"/>
      <c r="AN11" s="102"/>
      <c r="AO11" s="102"/>
      <c r="AP11" s="102"/>
      <c r="AQ11" s="102"/>
    </row>
    <row r="12" ht="15.0" customHeight="1">
      <c r="A12" s="1"/>
      <c r="B12" s="1"/>
      <c r="C12" s="1"/>
      <c r="D12" s="1"/>
      <c r="E12" s="115" t="s">
        <v>83</v>
      </c>
      <c r="F12" s="1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02"/>
      <c r="AK12" s="1"/>
      <c r="AL12" s="102"/>
      <c r="AM12" s="102"/>
      <c r="AN12" s="102"/>
      <c r="AO12" s="102"/>
      <c r="AP12" s="102"/>
      <c r="AQ12" s="102"/>
    </row>
    <row r="13" ht="15.0" customHeight="1">
      <c r="A13" s="1"/>
      <c r="B13" s="116" t="s">
        <v>84</v>
      </c>
      <c r="C13" s="117">
        <f>D10-C10</f>
        <v>2070000</v>
      </c>
      <c r="D13" s="74"/>
      <c r="E13" s="118">
        <f>C13*12</f>
        <v>24840000</v>
      </c>
      <c r="F13" s="11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02"/>
      <c r="AK13" s="1"/>
      <c r="AL13" s="102"/>
      <c r="AM13" s="102"/>
      <c r="AN13" s="102"/>
      <c r="AO13" s="102"/>
      <c r="AP13" s="102"/>
      <c r="AQ13" s="102"/>
    </row>
    <row r="14" ht="15.0" customHeight="1">
      <c r="A14" s="1"/>
      <c r="B14" s="120"/>
      <c r="C14" s="121"/>
      <c r="D14" s="121"/>
      <c r="E14" s="12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02"/>
      <c r="AK14" s="1"/>
      <c r="AL14" s="102"/>
      <c r="AM14" s="102"/>
      <c r="AN14" s="102"/>
      <c r="AO14" s="102"/>
      <c r="AP14" s="102"/>
      <c r="AQ14" s="102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02"/>
      <c r="AK15" s="1"/>
      <c r="AL15" s="102"/>
      <c r="AM15" s="102"/>
      <c r="AN15" s="102"/>
      <c r="AO15" s="102"/>
      <c r="AP15" s="102"/>
      <c r="AQ15" s="102"/>
    </row>
    <row r="16">
      <c r="A16" s="1"/>
      <c r="B16" s="122" t="s">
        <v>85</v>
      </c>
      <c r="C16" s="123" t="s">
        <v>86</v>
      </c>
      <c r="D16" s="124" t="s">
        <v>87</v>
      </c>
      <c r="E16" s="125" t="s">
        <v>88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>
        <f>LOOKUP(1000000,Y:Y)</f>
        <v>5</v>
      </c>
      <c r="AF16" s="1"/>
      <c r="AG16" s="1"/>
      <c r="AH16" s="1"/>
      <c r="AI16" s="1"/>
      <c r="AJ16" s="102"/>
      <c r="AK16" s="1"/>
      <c r="AL16" s="102"/>
      <c r="AM16" s="102"/>
      <c r="AN16" s="102"/>
      <c r="AO16" s="102"/>
      <c r="AP16" s="102"/>
      <c r="AQ16" s="102"/>
    </row>
    <row r="17">
      <c r="A17" s="1"/>
      <c r="B17" s="126" t="str">
        <f t="shared" ref="B17:D17" si="2">AL17</f>
        <v>Internet y telefono</v>
      </c>
      <c r="C17" s="127" t="str">
        <f t="shared" si="2"/>
        <v>No necesario</v>
      </c>
      <c r="D17" s="128">
        <f t="shared" si="2"/>
        <v>120000</v>
      </c>
      <c r="E17" s="129">
        <v>50000.0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01">
        <f>IFERROR(IF(Z17&lt;&gt;"",1+Y16,""),0)</f>
        <v>1</v>
      </c>
      <c r="Z17" s="130" t="str">
        <f>IFERROR(__xludf.DUMMYFUNCTION("FILTER('MIS FINANZAS'!$H$7:$I$103,'MIS FINANZAS'!$I$7:$I$103=""No necesario"")"),"Internet y telefono")</f>
        <v>Internet y telefono</v>
      </c>
      <c r="AA17" s="1" t="str">
        <f>IFERROR(__xludf.DUMMYFUNCTION("""COMPUTED_VALUE"""),"No necesario")</f>
        <v>No necesario</v>
      </c>
      <c r="AB17" s="1" t="str">
        <f>IFERROR(VLOOKUP(Z17,'MIS FINANZAS'!$H$7:$J$103,3,0),"")</f>
        <v>Mensual</v>
      </c>
      <c r="AC17" s="1">
        <f>IFERROR(VLOOKUP(Z17,'MIS FINANZAS'!$H$7:$L$103,5,0),"")</f>
        <v>120000</v>
      </c>
      <c r="AD17" s="101">
        <f t="shared" ref="AD17:AD118" si="4">IF(AB17="Bimensual",AC17/2,IF(AB17="Trimestral",AC17/3,IF(AB17="Semestral",AC17/6,IF(AB17="Anual",AC17/12,AC17))))</f>
        <v>120000</v>
      </c>
      <c r="AE17" s="101">
        <f t="shared" ref="AE17:AE118" si="5">IF(AF17&lt;&gt;"",1+AE16,"")</f>
        <v>6</v>
      </c>
      <c r="AF17" s="130" t="str">
        <f>IFERROR(__xludf.DUMMYFUNCTION("FILTER('MIS FINANZAS'!$H$7:$I$103,'MIS FINANZAS'!$I$7:$I$103=""No tan necesario"")"),"Plan de datos")</f>
        <v>Plan de datos</v>
      </c>
      <c r="AG17" s="1" t="str">
        <f>IFERROR(__xludf.DUMMYFUNCTION("""COMPUTED_VALUE"""),"No tan necesario")</f>
        <v>No tan necesario</v>
      </c>
      <c r="AH17" s="1" t="str">
        <f>IFERROR(VLOOKUP(AF17,'MIS FINANZAS'!$H$7:$J$103,3,0),"")</f>
        <v>Mensual</v>
      </c>
      <c r="AI17" s="1">
        <f>IFERROR(VLOOKUP(AF17,'MIS FINANZAS'!$H$7:$L$103,5,0),"")</f>
        <v>80000</v>
      </c>
      <c r="AJ17" s="131">
        <f t="shared" ref="AJ17:AJ118" si="6">IF(AH17="Bimensual",AI17/2,IF(AH17="Trimestral",AI17/3,IF(AH17="Semestral",AI17/6,IF(AH17="Anual",AI17/12,AI17))))</f>
        <v>80000</v>
      </c>
      <c r="AK17" s="101">
        <v>1.0</v>
      </c>
      <c r="AL17" s="131" t="str">
        <f t="shared" ref="AL17:AL118" si="7">IFERROR(IFERROR(VLOOKUP(AK17,$Y:$AA,2,0),VLOOKUP(AK17,$AE:$AG,2,0)),"")</f>
        <v>Internet y telefono</v>
      </c>
      <c r="AM17" s="131" t="str">
        <f t="shared" ref="AM17:AM118" si="8">IFERROR(IFERROR(VLOOKUP(AK17,$Y:$AA,3,0),VLOOKUP(AK17,$AE:$AG,3,0)),"")</f>
        <v>No necesario</v>
      </c>
      <c r="AN17" s="131">
        <f t="shared" ref="AN17:AN118" si="9">IFERROR(IFERROR(VLOOKUP(AK17,$Y:$AD,6,0),VLOOKUP(AK17,$AE:$AJ,6,0)),"")</f>
        <v>120000</v>
      </c>
      <c r="AO17" s="131" t="str">
        <f t="shared" ref="AO17:AO118" si="10">IFERROR(IFERROR(VLOOKUP(AK17,$Y:$AD,4,0),VLOOKUP(AK17,$AE:$AJ,4,0)),"")</f>
        <v>Mensual</v>
      </c>
      <c r="AP17" s="131">
        <f t="shared" ref="AP17:AP118" si="11">E17</f>
        <v>50000</v>
      </c>
      <c r="AQ17" s="131">
        <f t="shared" ref="AQ17:AQ118" si="12">IF(AO17="Bimensual",AP17*2,IF(AO17="Trimestral",AP17*3,IF(AO17="Semestral",AP17*6,IF(AO17="Anual",AP17*12,AP17))))</f>
        <v>50000</v>
      </c>
    </row>
    <row r="18">
      <c r="A18" s="1"/>
      <c r="B18" s="126" t="str">
        <f t="shared" ref="B18:D18" si="3">AL18</f>
        <v>Restaurantes</v>
      </c>
      <c r="C18" s="127" t="str">
        <f t="shared" si="3"/>
        <v>No necesario</v>
      </c>
      <c r="D18" s="128">
        <f t="shared" si="3"/>
        <v>600000</v>
      </c>
      <c r="E18" s="129">
        <v>200000.0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01">
        <f t="shared" ref="Y18:Y118" si="14">IF(Z18&lt;&gt;"",1+Y17,"")</f>
        <v>2</v>
      </c>
      <c r="Z18" s="1" t="str">
        <f>IFERROR(__xludf.DUMMYFUNCTION("""COMPUTED_VALUE"""),"Restaurantes")</f>
        <v>Restaurantes</v>
      </c>
      <c r="AA18" s="1" t="str">
        <f>IFERROR(__xludf.DUMMYFUNCTION("""COMPUTED_VALUE"""),"No necesario")</f>
        <v>No necesario</v>
      </c>
      <c r="AB18" s="1" t="str">
        <f>IFERROR(VLOOKUP(Z18,'MIS FINANZAS'!$H$7:$J$103,3,0),"")</f>
        <v>Mensual</v>
      </c>
      <c r="AC18" s="1">
        <f>IFERROR(VLOOKUP(Z18,'MIS FINANZAS'!$H$7:$L$103,5,0),"")</f>
        <v>600000</v>
      </c>
      <c r="AD18" s="101">
        <f t="shared" si="4"/>
        <v>600000</v>
      </c>
      <c r="AE18" s="101">
        <f t="shared" si="5"/>
        <v>7</v>
      </c>
      <c r="AF18" s="1" t="str">
        <f>IFERROR(__xludf.DUMMYFUNCTION("""COMPUTED_VALUE"""),"Seguro carro")</f>
        <v>Seguro carro</v>
      </c>
      <c r="AG18" s="1" t="str">
        <f>IFERROR(__xludf.DUMMYFUNCTION("""COMPUTED_VALUE"""),"No tan necesario")</f>
        <v>No tan necesario</v>
      </c>
      <c r="AH18" s="1" t="str">
        <f>IFERROR(VLOOKUP(AF18,'MIS FINANZAS'!$H$7:$J$103,3,0),"")</f>
        <v>Anual</v>
      </c>
      <c r="AI18" s="1">
        <f>IFERROR(VLOOKUP(AF18,'MIS FINANZAS'!$H$7:$L$103,5,0),"")</f>
        <v>1000000</v>
      </c>
      <c r="AJ18" s="131">
        <f t="shared" si="6"/>
        <v>83333.33333</v>
      </c>
      <c r="AK18" s="101">
        <v>2.0</v>
      </c>
      <c r="AL18" s="131" t="str">
        <f t="shared" si="7"/>
        <v>Restaurantes</v>
      </c>
      <c r="AM18" s="131" t="str">
        <f t="shared" si="8"/>
        <v>No necesario</v>
      </c>
      <c r="AN18" s="131">
        <f t="shared" si="9"/>
        <v>600000</v>
      </c>
      <c r="AO18" s="131" t="str">
        <f t="shared" si="10"/>
        <v>Mensual</v>
      </c>
      <c r="AP18" s="131">
        <f t="shared" si="11"/>
        <v>200000</v>
      </c>
      <c r="AQ18" s="131">
        <f t="shared" si="12"/>
        <v>200000</v>
      </c>
    </row>
    <row r="19">
      <c r="A19" s="1"/>
      <c r="B19" s="126" t="str">
        <f t="shared" ref="B19:D19" si="13">AL19</f>
        <v>Centro comercial</v>
      </c>
      <c r="C19" s="127" t="str">
        <f t="shared" si="13"/>
        <v>No necesario</v>
      </c>
      <c r="D19" s="128">
        <f t="shared" si="13"/>
        <v>450000</v>
      </c>
      <c r="E19" s="129">
        <v>150000.0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01">
        <f t="shared" si="14"/>
        <v>3</v>
      </c>
      <c r="Z19" s="1" t="str">
        <f>IFERROR(__xludf.DUMMYFUNCTION("""COMPUTED_VALUE"""),"Centro comercial")</f>
        <v>Centro comercial</v>
      </c>
      <c r="AA19" s="1" t="str">
        <f>IFERROR(__xludf.DUMMYFUNCTION("""COMPUTED_VALUE"""),"No necesario")</f>
        <v>No necesario</v>
      </c>
      <c r="AB19" s="1" t="str">
        <f>IFERROR(VLOOKUP(Z19,'MIS FINANZAS'!$H$7:$J$103,3,0),"")</f>
        <v>Mensual</v>
      </c>
      <c r="AC19" s="1">
        <f>IFERROR(VLOOKUP(Z19,'MIS FINANZAS'!$H$7:$L$103,5,0),"")</f>
        <v>450000</v>
      </c>
      <c r="AD19" s="101">
        <f t="shared" si="4"/>
        <v>450000</v>
      </c>
      <c r="AE19" s="101">
        <f t="shared" si="5"/>
        <v>8</v>
      </c>
      <c r="AF19" s="1" t="str">
        <f>IFERROR(__xludf.DUMMYFUNCTION("""COMPUTED_VALUE"""),"Gimnasio")</f>
        <v>Gimnasio</v>
      </c>
      <c r="AG19" s="1" t="str">
        <f>IFERROR(__xludf.DUMMYFUNCTION("""COMPUTED_VALUE"""),"No tan necesario")</f>
        <v>No tan necesario</v>
      </c>
      <c r="AH19" s="1" t="str">
        <f>IFERROR(VLOOKUP(AF19,'MIS FINANZAS'!$H$7:$J$103,3,0),"")</f>
        <v>Anual</v>
      </c>
      <c r="AI19" s="1">
        <f>IFERROR(VLOOKUP(AF19,'MIS FINANZAS'!$H$7:$L$103,5,0),"")</f>
        <v>900000</v>
      </c>
      <c r="AJ19" s="131">
        <f t="shared" si="6"/>
        <v>75000</v>
      </c>
      <c r="AK19" s="101">
        <v>3.0</v>
      </c>
      <c r="AL19" s="131" t="str">
        <f t="shared" si="7"/>
        <v>Centro comercial</v>
      </c>
      <c r="AM19" s="131" t="str">
        <f t="shared" si="8"/>
        <v>No necesario</v>
      </c>
      <c r="AN19" s="131">
        <f t="shared" si="9"/>
        <v>450000</v>
      </c>
      <c r="AO19" s="131" t="str">
        <f t="shared" si="10"/>
        <v>Mensual</v>
      </c>
      <c r="AP19" s="131">
        <f t="shared" si="11"/>
        <v>150000</v>
      </c>
      <c r="AQ19" s="131">
        <f t="shared" si="12"/>
        <v>150000</v>
      </c>
    </row>
    <row r="20">
      <c r="A20" s="1"/>
      <c r="B20" s="126" t="str">
        <f t="shared" ref="B20:D20" si="15">AL20</f>
        <v>Juguetes perritos</v>
      </c>
      <c r="C20" s="127" t="str">
        <f t="shared" si="15"/>
        <v>No necesario</v>
      </c>
      <c r="D20" s="128">
        <f t="shared" si="15"/>
        <v>50000</v>
      </c>
      <c r="E20" s="129">
        <v>0.0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01">
        <f t="shared" si="14"/>
        <v>4</v>
      </c>
      <c r="Z20" s="1" t="str">
        <f>IFERROR(__xludf.DUMMYFUNCTION("""COMPUTED_VALUE"""),"Juguetes perritos")</f>
        <v>Juguetes perritos</v>
      </c>
      <c r="AA20" s="1" t="str">
        <f>IFERROR(__xludf.DUMMYFUNCTION("""COMPUTED_VALUE"""),"No necesario")</f>
        <v>No necesario</v>
      </c>
      <c r="AB20" s="1" t="str">
        <f>IFERROR(VLOOKUP(Z20,'MIS FINANZAS'!$H$7:$J$103,3,0),"")</f>
        <v>Bimensual</v>
      </c>
      <c r="AC20" s="1">
        <f>IFERROR(VLOOKUP(Z20,'MIS FINANZAS'!$H$7:$L$103,5,0),"")</f>
        <v>100000</v>
      </c>
      <c r="AD20" s="101">
        <f t="shared" si="4"/>
        <v>50000</v>
      </c>
      <c r="AE20" s="101">
        <f t="shared" si="5"/>
        <v>9</v>
      </c>
      <c r="AF20" s="1" t="str">
        <f>IFERROR(__xludf.DUMMYFUNCTION("""COMPUTED_VALUE"""),"Streaming (Netflix, spotify…)")</f>
        <v>Streaming (Netflix, spotify…)</v>
      </c>
      <c r="AG20" s="1" t="str">
        <f>IFERROR(__xludf.DUMMYFUNCTION("""COMPUTED_VALUE"""),"No tan necesario")</f>
        <v>No tan necesario</v>
      </c>
      <c r="AH20" s="1" t="str">
        <f>IFERROR(VLOOKUP(AF20,'MIS FINANZAS'!$H$7:$J$103,3,0),"")</f>
        <v>Mensual</v>
      </c>
      <c r="AI20" s="1">
        <f>IFERROR(VLOOKUP(AF20,'MIS FINANZAS'!$H$7:$L$103,5,0),"")</f>
        <v>120000</v>
      </c>
      <c r="AJ20" s="131">
        <f t="shared" si="6"/>
        <v>120000</v>
      </c>
      <c r="AK20" s="101">
        <v>4.0</v>
      </c>
      <c r="AL20" s="131" t="str">
        <f t="shared" si="7"/>
        <v>Juguetes perritos</v>
      </c>
      <c r="AM20" s="131" t="str">
        <f t="shared" si="8"/>
        <v>No necesario</v>
      </c>
      <c r="AN20" s="131">
        <f t="shared" si="9"/>
        <v>50000</v>
      </c>
      <c r="AO20" s="131" t="str">
        <f t="shared" si="10"/>
        <v>Bimensual</v>
      </c>
      <c r="AP20" s="131">
        <f t="shared" si="11"/>
        <v>0</v>
      </c>
      <c r="AQ20" s="131">
        <f t="shared" si="12"/>
        <v>0</v>
      </c>
    </row>
    <row r="21">
      <c r="A21" s="1"/>
      <c r="B21" s="126" t="str">
        <f t="shared" ref="B21:D21" si="16">AL21</f>
        <v>Domicilios</v>
      </c>
      <c r="C21" s="127" t="str">
        <f t="shared" si="16"/>
        <v>No necesario</v>
      </c>
      <c r="D21" s="128">
        <f t="shared" si="16"/>
        <v>400000</v>
      </c>
      <c r="E21" s="129">
        <v>100000.0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01">
        <f t="shared" si="14"/>
        <v>5</v>
      </c>
      <c r="Z21" s="1" t="str">
        <f>IFERROR(__xludf.DUMMYFUNCTION("""COMPUTED_VALUE"""),"Domicilios")</f>
        <v>Domicilios</v>
      </c>
      <c r="AA21" s="1" t="str">
        <f>IFERROR(__xludf.DUMMYFUNCTION("""COMPUTED_VALUE"""),"No necesario")</f>
        <v>No necesario</v>
      </c>
      <c r="AB21" s="1" t="str">
        <f>IFERROR(VLOOKUP(Z21,'MIS FINANZAS'!$H$7:$J$103,3,0),"")</f>
        <v>Mensual</v>
      </c>
      <c r="AC21" s="1">
        <f>IFERROR(VLOOKUP(Z21,'MIS FINANZAS'!$H$7:$L$103,5,0),"")</f>
        <v>400000</v>
      </c>
      <c r="AD21" s="101">
        <f t="shared" si="4"/>
        <v>400000</v>
      </c>
      <c r="AE21" s="101">
        <f t="shared" si="5"/>
        <v>10</v>
      </c>
      <c r="AF21" s="1" t="str">
        <f>IFERROR(__xludf.DUMMYFUNCTION("""COMPUTED_VALUE"""),"Taxi/Uber/Bus")</f>
        <v>Taxi/Uber/Bus</v>
      </c>
      <c r="AG21" s="1" t="str">
        <f>IFERROR(__xludf.DUMMYFUNCTION("""COMPUTED_VALUE"""),"No tan necesario")</f>
        <v>No tan necesario</v>
      </c>
      <c r="AH21" s="1" t="str">
        <f>IFERROR(VLOOKUP(AF21,'MIS FINANZAS'!$H$7:$J$103,3,0),"")</f>
        <v>Mensual</v>
      </c>
      <c r="AI21" s="1">
        <f>IFERROR(VLOOKUP(AF21,'MIS FINANZAS'!$H$7:$L$103,5,0),"")</f>
        <v>140000</v>
      </c>
      <c r="AJ21" s="131">
        <f t="shared" si="6"/>
        <v>140000</v>
      </c>
      <c r="AK21" s="101">
        <v>5.0</v>
      </c>
      <c r="AL21" s="131" t="str">
        <f t="shared" si="7"/>
        <v>Domicilios</v>
      </c>
      <c r="AM21" s="131" t="str">
        <f t="shared" si="8"/>
        <v>No necesario</v>
      </c>
      <c r="AN21" s="131">
        <f t="shared" si="9"/>
        <v>400000</v>
      </c>
      <c r="AO21" s="131" t="str">
        <f t="shared" si="10"/>
        <v>Mensual</v>
      </c>
      <c r="AP21" s="131">
        <f t="shared" si="11"/>
        <v>100000</v>
      </c>
      <c r="AQ21" s="131">
        <f t="shared" si="12"/>
        <v>100000</v>
      </c>
    </row>
    <row r="22">
      <c r="A22" s="1"/>
      <c r="B22" s="126" t="str">
        <f t="shared" ref="B22:D22" si="17">AL22</f>
        <v>Plan de datos</v>
      </c>
      <c r="C22" s="127" t="str">
        <f t="shared" si="17"/>
        <v>No tan necesario</v>
      </c>
      <c r="D22" s="128">
        <f t="shared" si="17"/>
        <v>80000</v>
      </c>
      <c r="E22" s="129">
        <v>80000.0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01" t="str">
        <f t="shared" si="14"/>
        <v/>
      </c>
      <c r="Z22" s="1"/>
      <c r="AA22" s="1"/>
      <c r="AB22" s="1" t="str">
        <f>IFERROR(VLOOKUP(Z22,'MIS FINANZAS'!$H$7:$J$103,3,0),"")</f>
        <v/>
      </c>
      <c r="AC22" s="1" t="str">
        <f>IFERROR(VLOOKUP(Z22,'MIS FINANZAS'!$H$7:$L$103,5,0),"")</f>
        <v/>
      </c>
      <c r="AD22" s="101" t="str">
        <f t="shared" si="4"/>
        <v/>
      </c>
      <c r="AE22" s="101">
        <f t="shared" si="5"/>
        <v>11</v>
      </c>
      <c r="AF22" s="1" t="str">
        <f>IFERROR(__xludf.DUMMYFUNCTION("""COMPUTED_VALUE"""),"Viajes")</f>
        <v>Viajes</v>
      </c>
      <c r="AG22" s="1" t="str">
        <f>IFERROR(__xludf.DUMMYFUNCTION("""COMPUTED_VALUE"""),"No tan necesario")</f>
        <v>No tan necesario</v>
      </c>
      <c r="AH22" s="1" t="str">
        <f>IFERROR(VLOOKUP(AF22,'MIS FINANZAS'!$H$7:$J$103,3,0),"")</f>
        <v>Semestral</v>
      </c>
      <c r="AI22" s="1">
        <f>IFERROR(VLOOKUP(AF22,'MIS FINANZAS'!$H$7:$L$103,5,0),"")</f>
        <v>4000000</v>
      </c>
      <c r="AJ22" s="131">
        <f t="shared" si="6"/>
        <v>666666.6667</v>
      </c>
      <c r="AK22" s="101">
        <v>6.0</v>
      </c>
      <c r="AL22" s="131" t="str">
        <f t="shared" si="7"/>
        <v>Plan de datos</v>
      </c>
      <c r="AM22" s="131" t="str">
        <f t="shared" si="8"/>
        <v>No tan necesario</v>
      </c>
      <c r="AN22" s="131">
        <f t="shared" si="9"/>
        <v>80000</v>
      </c>
      <c r="AO22" s="131" t="str">
        <f t="shared" si="10"/>
        <v>Mensual</v>
      </c>
      <c r="AP22" s="131">
        <f t="shared" si="11"/>
        <v>80000</v>
      </c>
      <c r="AQ22" s="131">
        <f t="shared" si="12"/>
        <v>80000</v>
      </c>
    </row>
    <row r="23" ht="15.75" customHeight="1">
      <c r="A23" s="1"/>
      <c r="B23" s="126" t="str">
        <f t="shared" ref="B23:D23" si="18">AL23</f>
        <v>Seguro carro</v>
      </c>
      <c r="C23" s="127" t="str">
        <f t="shared" si="18"/>
        <v>No tan necesario</v>
      </c>
      <c r="D23" s="128">
        <f t="shared" si="18"/>
        <v>83333.33333</v>
      </c>
      <c r="E23" s="129">
        <v>50000.0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01" t="str">
        <f t="shared" si="14"/>
        <v/>
      </c>
      <c r="Z23" s="1"/>
      <c r="AA23" s="1"/>
      <c r="AB23" s="1" t="str">
        <f>IFERROR(VLOOKUP(Z23,'MIS FINANZAS'!$H$7:$J$103,3,0),"")</f>
        <v/>
      </c>
      <c r="AC23" s="1" t="str">
        <f>IFERROR(VLOOKUP(Z23,'MIS FINANZAS'!$H$7:$L$103,5,0),"")</f>
        <v/>
      </c>
      <c r="AD23" s="101" t="str">
        <f t="shared" si="4"/>
        <v/>
      </c>
      <c r="AE23" s="101">
        <f t="shared" si="5"/>
        <v>12</v>
      </c>
      <c r="AF23" s="1" t="str">
        <f>IFERROR(__xludf.DUMMYFUNCTION("""COMPUTED_VALUE"""),"Ropa")</f>
        <v>Ropa</v>
      </c>
      <c r="AG23" s="1" t="str">
        <f>IFERROR(__xludf.DUMMYFUNCTION("""COMPUTED_VALUE"""),"No tan necesario")</f>
        <v>No tan necesario</v>
      </c>
      <c r="AH23" s="1" t="str">
        <f>IFERROR(VLOOKUP(AF23,'MIS FINANZAS'!$H$7:$J$103,3,0),"")</f>
        <v>Trimestral</v>
      </c>
      <c r="AI23" s="1">
        <f>IFERROR(VLOOKUP(AF23,'MIS FINANZAS'!$H$7:$L$103,5,0),"")</f>
        <v>1500000</v>
      </c>
      <c r="AJ23" s="131">
        <f t="shared" si="6"/>
        <v>500000</v>
      </c>
      <c r="AK23" s="101">
        <v>7.0</v>
      </c>
      <c r="AL23" s="131" t="str">
        <f t="shared" si="7"/>
        <v>Seguro carro</v>
      </c>
      <c r="AM23" s="131" t="str">
        <f t="shared" si="8"/>
        <v>No tan necesario</v>
      </c>
      <c r="AN23" s="131">
        <f t="shared" si="9"/>
        <v>83333.33333</v>
      </c>
      <c r="AO23" s="131" t="str">
        <f t="shared" si="10"/>
        <v>Anual</v>
      </c>
      <c r="AP23" s="131">
        <f t="shared" si="11"/>
        <v>50000</v>
      </c>
      <c r="AQ23" s="131">
        <f t="shared" si="12"/>
        <v>600000</v>
      </c>
    </row>
    <row r="24" ht="15.75" customHeight="1">
      <c r="A24" s="1"/>
      <c r="B24" s="126" t="str">
        <f t="shared" ref="B24:D24" si="19">AL24</f>
        <v>Gimnasio</v>
      </c>
      <c r="C24" s="127" t="str">
        <f t="shared" si="19"/>
        <v>No tan necesario</v>
      </c>
      <c r="D24" s="128">
        <f t="shared" si="19"/>
        <v>75000</v>
      </c>
      <c r="E24" s="129">
        <v>30000.0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01" t="str">
        <f t="shared" si="14"/>
        <v/>
      </c>
      <c r="Z24" s="1"/>
      <c r="AA24" s="1"/>
      <c r="AB24" s="1" t="str">
        <f>IFERROR(VLOOKUP(Z24,'MIS FINANZAS'!$H$7:$J$103,3,0),"")</f>
        <v/>
      </c>
      <c r="AC24" s="1" t="str">
        <f>IFERROR(VLOOKUP(Z24,'MIS FINANZAS'!$H$7:$L$103,5,0),"")</f>
        <v/>
      </c>
      <c r="AD24" s="101" t="str">
        <f t="shared" si="4"/>
        <v/>
      </c>
      <c r="AE24" s="101" t="str">
        <f t="shared" si="5"/>
        <v/>
      </c>
      <c r="AF24" s="1"/>
      <c r="AG24" s="1"/>
      <c r="AH24" s="1" t="str">
        <f>IFERROR(VLOOKUP(AF24,'MIS FINANZAS'!$H$7:$J$103,3,0),"")</f>
        <v/>
      </c>
      <c r="AI24" s="1" t="str">
        <f>IFERROR(VLOOKUP(AF24,'MIS FINANZAS'!$H$7:$L$103,5,0),"")</f>
        <v/>
      </c>
      <c r="AJ24" s="131" t="str">
        <f t="shared" si="6"/>
        <v/>
      </c>
      <c r="AK24" s="101">
        <v>8.0</v>
      </c>
      <c r="AL24" s="131" t="str">
        <f t="shared" si="7"/>
        <v>Gimnasio</v>
      </c>
      <c r="AM24" s="131" t="str">
        <f t="shared" si="8"/>
        <v>No tan necesario</v>
      </c>
      <c r="AN24" s="131">
        <f t="shared" si="9"/>
        <v>75000</v>
      </c>
      <c r="AO24" s="131" t="str">
        <f t="shared" si="10"/>
        <v>Anual</v>
      </c>
      <c r="AP24" s="131">
        <f t="shared" si="11"/>
        <v>30000</v>
      </c>
      <c r="AQ24" s="131">
        <f t="shared" si="12"/>
        <v>360000</v>
      </c>
    </row>
    <row r="25" ht="15.75" customHeight="1">
      <c r="A25" s="1"/>
      <c r="B25" s="126" t="str">
        <f t="shared" ref="B25:D25" si="20">AL25</f>
        <v>Streaming (Netflix, spotify…)</v>
      </c>
      <c r="C25" s="127" t="str">
        <f t="shared" si="20"/>
        <v>No tan necesario</v>
      </c>
      <c r="D25" s="128">
        <f t="shared" si="20"/>
        <v>120000</v>
      </c>
      <c r="E25" s="129">
        <v>40000.0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01" t="str">
        <f t="shared" si="14"/>
        <v/>
      </c>
      <c r="Z25" s="1"/>
      <c r="AA25" s="1"/>
      <c r="AB25" s="1" t="str">
        <f>IFERROR(VLOOKUP(Z25,'MIS FINANZAS'!$H$7:$J$103,3,0),"")</f>
        <v/>
      </c>
      <c r="AC25" s="1" t="str">
        <f>IFERROR(VLOOKUP(Z25,'MIS FINANZAS'!$H$7:$L$103,5,0),"")</f>
        <v/>
      </c>
      <c r="AD25" s="101" t="str">
        <f t="shared" si="4"/>
        <v/>
      </c>
      <c r="AE25" s="101" t="str">
        <f t="shared" si="5"/>
        <v/>
      </c>
      <c r="AF25" s="1"/>
      <c r="AG25" s="1"/>
      <c r="AH25" s="1" t="str">
        <f>IFERROR(VLOOKUP(AF25,'MIS FINANZAS'!$H$7:$J$103,3,0),"")</f>
        <v/>
      </c>
      <c r="AI25" s="1" t="str">
        <f>IFERROR(VLOOKUP(AF25,'MIS FINANZAS'!$H$7:$L$103,5,0),"")</f>
        <v/>
      </c>
      <c r="AJ25" s="131" t="str">
        <f t="shared" si="6"/>
        <v/>
      </c>
      <c r="AK25" s="101">
        <v>9.0</v>
      </c>
      <c r="AL25" s="131" t="str">
        <f t="shared" si="7"/>
        <v>Streaming (Netflix, spotify…)</v>
      </c>
      <c r="AM25" s="131" t="str">
        <f t="shared" si="8"/>
        <v>No tan necesario</v>
      </c>
      <c r="AN25" s="131">
        <f t="shared" si="9"/>
        <v>120000</v>
      </c>
      <c r="AO25" s="131" t="str">
        <f t="shared" si="10"/>
        <v>Mensual</v>
      </c>
      <c r="AP25" s="131">
        <f t="shared" si="11"/>
        <v>40000</v>
      </c>
      <c r="AQ25" s="131">
        <f t="shared" si="12"/>
        <v>40000</v>
      </c>
    </row>
    <row r="26" ht="15.75" customHeight="1">
      <c r="A26" s="1"/>
      <c r="B26" s="126" t="str">
        <f t="shared" ref="B26:D26" si="21">AL26</f>
        <v>Taxi/Uber/Bus</v>
      </c>
      <c r="C26" s="127" t="str">
        <f t="shared" si="21"/>
        <v>No tan necesario</v>
      </c>
      <c r="D26" s="128">
        <f t="shared" si="21"/>
        <v>140000</v>
      </c>
      <c r="E26" s="129">
        <v>65000.0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01" t="str">
        <f t="shared" si="14"/>
        <v/>
      </c>
      <c r="Z26" s="1"/>
      <c r="AA26" s="1"/>
      <c r="AB26" s="1" t="str">
        <f>IFERROR(VLOOKUP(Z26,'MIS FINANZAS'!$H$7:$J$103,3,0),"")</f>
        <v/>
      </c>
      <c r="AC26" s="1" t="str">
        <f>IFERROR(VLOOKUP(Z26,'MIS FINANZAS'!$H$7:$L$103,5,0),"")</f>
        <v/>
      </c>
      <c r="AD26" s="101" t="str">
        <f t="shared" si="4"/>
        <v/>
      </c>
      <c r="AE26" s="101" t="str">
        <f t="shared" si="5"/>
        <v/>
      </c>
      <c r="AF26" s="1"/>
      <c r="AG26" s="1"/>
      <c r="AH26" s="1" t="str">
        <f>IFERROR(VLOOKUP(AF26,'MIS FINANZAS'!$H$7:$J$103,3,0),"")</f>
        <v/>
      </c>
      <c r="AI26" s="1" t="str">
        <f>IFERROR(VLOOKUP(AF26,'MIS FINANZAS'!$H$7:$L$103,5,0),"")</f>
        <v/>
      </c>
      <c r="AJ26" s="131" t="str">
        <f t="shared" si="6"/>
        <v/>
      </c>
      <c r="AK26" s="101">
        <v>10.0</v>
      </c>
      <c r="AL26" s="131" t="str">
        <f t="shared" si="7"/>
        <v>Taxi/Uber/Bus</v>
      </c>
      <c r="AM26" s="131" t="str">
        <f t="shared" si="8"/>
        <v>No tan necesario</v>
      </c>
      <c r="AN26" s="131">
        <f t="shared" si="9"/>
        <v>140000</v>
      </c>
      <c r="AO26" s="131" t="str">
        <f t="shared" si="10"/>
        <v>Mensual</v>
      </c>
      <c r="AP26" s="131">
        <f t="shared" si="11"/>
        <v>65000</v>
      </c>
      <c r="AQ26" s="131">
        <f t="shared" si="12"/>
        <v>65000</v>
      </c>
    </row>
    <row r="27" ht="15.75" customHeight="1">
      <c r="A27" s="1"/>
      <c r="B27" s="126" t="str">
        <f t="shared" ref="B27:D27" si="22">AL27</f>
        <v>Viajes</v>
      </c>
      <c r="C27" s="127" t="str">
        <f t="shared" si="22"/>
        <v>No tan necesario</v>
      </c>
      <c r="D27" s="128">
        <f t="shared" si="22"/>
        <v>666666.6667</v>
      </c>
      <c r="E27" s="129">
        <v>300000.0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01" t="str">
        <f t="shared" si="14"/>
        <v/>
      </c>
      <c r="Z27" s="1"/>
      <c r="AA27" s="1"/>
      <c r="AB27" s="1" t="str">
        <f>IFERROR(VLOOKUP(Z27,'MIS FINANZAS'!$H$7:$J$103,3,0),"")</f>
        <v/>
      </c>
      <c r="AC27" s="1" t="str">
        <f>IFERROR(VLOOKUP(Z27,'MIS FINANZAS'!$H$7:$L$103,5,0),"")</f>
        <v/>
      </c>
      <c r="AD27" s="101" t="str">
        <f t="shared" si="4"/>
        <v/>
      </c>
      <c r="AE27" s="101" t="str">
        <f t="shared" si="5"/>
        <v/>
      </c>
      <c r="AF27" s="1"/>
      <c r="AG27" s="1"/>
      <c r="AH27" s="1" t="str">
        <f>IFERROR(VLOOKUP(AF27,'MIS FINANZAS'!$H$7:$J$103,3,0),"")</f>
        <v/>
      </c>
      <c r="AI27" s="1" t="str">
        <f>IFERROR(VLOOKUP(AF27,'MIS FINANZAS'!$H$7:$L$103,5,0),"")</f>
        <v/>
      </c>
      <c r="AJ27" s="131" t="str">
        <f t="shared" si="6"/>
        <v/>
      </c>
      <c r="AK27" s="101">
        <v>11.0</v>
      </c>
      <c r="AL27" s="131" t="str">
        <f t="shared" si="7"/>
        <v>Viajes</v>
      </c>
      <c r="AM27" s="131" t="str">
        <f t="shared" si="8"/>
        <v>No tan necesario</v>
      </c>
      <c r="AN27" s="131">
        <f t="shared" si="9"/>
        <v>666666.6667</v>
      </c>
      <c r="AO27" s="131" t="str">
        <f t="shared" si="10"/>
        <v>Semestral</v>
      </c>
      <c r="AP27" s="131">
        <f t="shared" si="11"/>
        <v>300000</v>
      </c>
      <c r="AQ27" s="131">
        <f t="shared" si="12"/>
        <v>1800000</v>
      </c>
    </row>
    <row r="28" ht="15.75" customHeight="1">
      <c r="A28" s="1"/>
      <c r="B28" s="126" t="str">
        <f t="shared" ref="B28:D28" si="23">AL28</f>
        <v>Ropa</v>
      </c>
      <c r="C28" s="127" t="str">
        <f t="shared" si="23"/>
        <v>No tan necesario</v>
      </c>
      <c r="D28" s="128">
        <f t="shared" si="23"/>
        <v>500000</v>
      </c>
      <c r="E28" s="129">
        <v>150000.0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01" t="str">
        <f t="shared" si="14"/>
        <v/>
      </c>
      <c r="Z28" s="1"/>
      <c r="AA28" s="1"/>
      <c r="AB28" s="1" t="str">
        <f>IFERROR(VLOOKUP(Z28,'MIS FINANZAS'!$H$7:$J$103,3,0),"")</f>
        <v/>
      </c>
      <c r="AC28" s="1" t="str">
        <f>IFERROR(VLOOKUP(Z28,'MIS FINANZAS'!$H$7:$L$103,5,0),"")</f>
        <v/>
      </c>
      <c r="AD28" s="101" t="str">
        <f t="shared" si="4"/>
        <v/>
      </c>
      <c r="AE28" s="101" t="str">
        <f t="shared" si="5"/>
        <v/>
      </c>
      <c r="AF28" s="1"/>
      <c r="AG28" s="1"/>
      <c r="AH28" s="1" t="str">
        <f>IFERROR(VLOOKUP(AF28,'MIS FINANZAS'!$H$7:$J$103,3,0),"")</f>
        <v/>
      </c>
      <c r="AI28" s="1" t="str">
        <f>IFERROR(VLOOKUP(AF28,'MIS FINANZAS'!$H$7:$L$103,5,0),"")</f>
        <v/>
      </c>
      <c r="AJ28" s="131" t="str">
        <f t="shared" si="6"/>
        <v/>
      </c>
      <c r="AK28" s="101">
        <v>12.0</v>
      </c>
      <c r="AL28" s="131" t="str">
        <f t="shared" si="7"/>
        <v>Ropa</v>
      </c>
      <c r="AM28" s="131" t="str">
        <f t="shared" si="8"/>
        <v>No tan necesario</v>
      </c>
      <c r="AN28" s="131">
        <f t="shared" si="9"/>
        <v>500000</v>
      </c>
      <c r="AO28" s="131" t="str">
        <f t="shared" si="10"/>
        <v>Trimestral</v>
      </c>
      <c r="AP28" s="131">
        <f t="shared" si="11"/>
        <v>150000</v>
      </c>
      <c r="AQ28" s="131">
        <f t="shared" si="12"/>
        <v>450000</v>
      </c>
    </row>
    <row r="29" ht="15.75" customHeight="1">
      <c r="A29" s="1"/>
      <c r="B29" s="126" t="str">
        <f t="shared" ref="B29:D29" si="24">AL29</f>
        <v/>
      </c>
      <c r="C29" s="127" t="str">
        <f t="shared" si="24"/>
        <v/>
      </c>
      <c r="D29" s="128" t="str">
        <f t="shared" si="24"/>
        <v/>
      </c>
      <c r="E29" s="13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01" t="str">
        <f t="shared" si="14"/>
        <v/>
      </c>
      <c r="Z29" s="1"/>
      <c r="AA29" s="1"/>
      <c r="AB29" s="1" t="str">
        <f>IFERROR(VLOOKUP(Z29,'MIS FINANZAS'!$H$7:$J$103,3,0),"")</f>
        <v/>
      </c>
      <c r="AC29" s="1" t="str">
        <f>IFERROR(VLOOKUP(Z29,'MIS FINANZAS'!$H$7:$L$103,5,0),"")</f>
        <v/>
      </c>
      <c r="AD29" s="101" t="str">
        <f t="shared" si="4"/>
        <v/>
      </c>
      <c r="AE29" s="101" t="str">
        <f t="shared" si="5"/>
        <v/>
      </c>
      <c r="AF29" s="1"/>
      <c r="AG29" s="1"/>
      <c r="AH29" s="1" t="str">
        <f>IFERROR(VLOOKUP(AF29,'MIS FINANZAS'!$H$7:$J$103,3,0),"")</f>
        <v/>
      </c>
      <c r="AI29" s="1" t="str">
        <f>IFERROR(VLOOKUP(AF29,'MIS FINANZAS'!$H$7:$L$103,5,0),"")</f>
        <v/>
      </c>
      <c r="AJ29" s="131" t="str">
        <f t="shared" si="6"/>
        <v/>
      </c>
      <c r="AK29" s="101">
        <v>13.0</v>
      </c>
      <c r="AL29" s="131" t="str">
        <f t="shared" si="7"/>
        <v/>
      </c>
      <c r="AM29" s="131" t="str">
        <f t="shared" si="8"/>
        <v/>
      </c>
      <c r="AN29" s="131" t="str">
        <f t="shared" si="9"/>
        <v/>
      </c>
      <c r="AO29" s="131" t="str">
        <f t="shared" si="10"/>
        <v/>
      </c>
      <c r="AP29" s="131" t="str">
        <f t="shared" si="11"/>
        <v/>
      </c>
      <c r="AQ29" s="131" t="str">
        <f t="shared" si="12"/>
        <v/>
      </c>
    </row>
    <row r="30" ht="15.75" customHeight="1">
      <c r="A30" s="1"/>
      <c r="B30" s="126" t="str">
        <f t="shared" ref="B30:D30" si="25">AL30</f>
        <v/>
      </c>
      <c r="C30" s="127" t="str">
        <f t="shared" si="25"/>
        <v/>
      </c>
      <c r="D30" s="128" t="str">
        <f t="shared" si="25"/>
        <v/>
      </c>
      <c r="E30" s="13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01" t="str">
        <f t="shared" si="14"/>
        <v/>
      </c>
      <c r="Z30" s="1"/>
      <c r="AA30" s="1"/>
      <c r="AB30" s="1" t="str">
        <f>IFERROR(VLOOKUP(Z30,'MIS FINANZAS'!$H$7:$J$103,3,0),"")</f>
        <v/>
      </c>
      <c r="AC30" s="1" t="str">
        <f>IFERROR(VLOOKUP(Z30,'MIS FINANZAS'!$H$7:$L$103,5,0),"")</f>
        <v/>
      </c>
      <c r="AD30" s="101" t="str">
        <f t="shared" si="4"/>
        <v/>
      </c>
      <c r="AE30" s="101" t="str">
        <f t="shared" si="5"/>
        <v/>
      </c>
      <c r="AF30" s="1"/>
      <c r="AG30" s="1"/>
      <c r="AH30" s="1" t="str">
        <f>IFERROR(VLOOKUP(AF30,'MIS FINANZAS'!$H$7:$J$103,3,0),"")</f>
        <v/>
      </c>
      <c r="AI30" s="1" t="str">
        <f>IFERROR(VLOOKUP(AF30,'MIS FINANZAS'!$H$7:$L$103,5,0),"")</f>
        <v/>
      </c>
      <c r="AJ30" s="131" t="str">
        <f t="shared" si="6"/>
        <v/>
      </c>
      <c r="AK30" s="101">
        <v>14.0</v>
      </c>
      <c r="AL30" s="131" t="str">
        <f t="shared" si="7"/>
        <v/>
      </c>
      <c r="AM30" s="131" t="str">
        <f t="shared" si="8"/>
        <v/>
      </c>
      <c r="AN30" s="131" t="str">
        <f t="shared" si="9"/>
        <v/>
      </c>
      <c r="AO30" s="131" t="str">
        <f t="shared" si="10"/>
        <v/>
      </c>
      <c r="AP30" s="131" t="str">
        <f t="shared" si="11"/>
        <v/>
      </c>
      <c r="AQ30" s="131" t="str">
        <f t="shared" si="12"/>
        <v/>
      </c>
    </row>
    <row r="31" ht="15.75" customHeight="1">
      <c r="A31" s="1"/>
      <c r="B31" s="126" t="str">
        <f t="shared" ref="B31:D31" si="26">AL31</f>
        <v/>
      </c>
      <c r="C31" s="127" t="str">
        <f t="shared" si="26"/>
        <v/>
      </c>
      <c r="D31" s="128" t="str">
        <f t="shared" si="26"/>
        <v/>
      </c>
      <c r="E31" s="13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01" t="str">
        <f t="shared" si="14"/>
        <v/>
      </c>
      <c r="Z31" s="1"/>
      <c r="AA31" s="1"/>
      <c r="AB31" s="1" t="str">
        <f>IFERROR(VLOOKUP(Z31,'MIS FINANZAS'!$H$7:$J$103,3,0),"")</f>
        <v/>
      </c>
      <c r="AC31" s="1" t="str">
        <f>IFERROR(VLOOKUP(Z31,'MIS FINANZAS'!$H$7:$L$103,5,0),"")</f>
        <v/>
      </c>
      <c r="AD31" s="101" t="str">
        <f t="shared" si="4"/>
        <v/>
      </c>
      <c r="AE31" s="101" t="str">
        <f t="shared" si="5"/>
        <v/>
      </c>
      <c r="AF31" s="1"/>
      <c r="AG31" s="1"/>
      <c r="AH31" s="1" t="str">
        <f>IFERROR(VLOOKUP(AF31,'MIS FINANZAS'!$H$7:$J$103,3,0),"")</f>
        <v/>
      </c>
      <c r="AI31" s="1" t="str">
        <f>IFERROR(VLOOKUP(AF31,'MIS FINANZAS'!$H$7:$L$103,5,0),"")</f>
        <v/>
      </c>
      <c r="AJ31" s="131" t="str">
        <f t="shared" si="6"/>
        <v/>
      </c>
      <c r="AK31" s="101">
        <v>15.0</v>
      </c>
      <c r="AL31" s="131" t="str">
        <f t="shared" si="7"/>
        <v/>
      </c>
      <c r="AM31" s="131" t="str">
        <f t="shared" si="8"/>
        <v/>
      </c>
      <c r="AN31" s="131" t="str">
        <f t="shared" si="9"/>
        <v/>
      </c>
      <c r="AO31" s="131" t="str">
        <f t="shared" si="10"/>
        <v/>
      </c>
      <c r="AP31" s="131" t="str">
        <f t="shared" si="11"/>
        <v/>
      </c>
      <c r="AQ31" s="131" t="str">
        <f t="shared" si="12"/>
        <v/>
      </c>
    </row>
    <row r="32" ht="15.75" customHeight="1">
      <c r="A32" s="1"/>
      <c r="B32" s="126" t="str">
        <f t="shared" ref="B32:D32" si="27">AL32</f>
        <v/>
      </c>
      <c r="C32" s="127" t="str">
        <f t="shared" si="27"/>
        <v/>
      </c>
      <c r="D32" s="128" t="str">
        <f t="shared" si="27"/>
        <v/>
      </c>
      <c r="E32" s="13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01" t="str">
        <f t="shared" si="14"/>
        <v/>
      </c>
      <c r="Z32" s="1"/>
      <c r="AA32" s="1"/>
      <c r="AB32" s="1" t="str">
        <f>IFERROR(VLOOKUP(Z32,'MIS FINANZAS'!$H$7:$J$103,3,0),"")</f>
        <v/>
      </c>
      <c r="AC32" s="1" t="str">
        <f>IFERROR(VLOOKUP(Z32,'MIS FINANZAS'!$H$7:$L$103,5,0),"")</f>
        <v/>
      </c>
      <c r="AD32" s="101" t="str">
        <f t="shared" si="4"/>
        <v/>
      </c>
      <c r="AE32" s="101" t="str">
        <f t="shared" si="5"/>
        <v/>
      </c>
      <c r="AF32" s="1"/>
      <c r="AG32" s="1"/>
      <c r="AH32" s="1" t="str">
        <f>IFERROR(VLOOKUP(AF32,'MIS FINANZAS'!$H$7:$J$103,3,0),"")</f>
        <v/>
      </c>
      <c r="AI32" s="1" t="str">
        <f>IFERROR(VLOOKUP(AF32,'MIS FINANZAS'!$H$7:$L$103,5,0),"")</f>
        <v/>
      </c>
      <c r="AJ32" s="131" t="str">
        <f t="shared" si="6"/>
        <v/>
      </c>
      <c r="AK32" s="101">
        <v>16.0</v>
      </c>
      <c r="AL32" s="131" t="str">
        <f t="shared" si="7"/>
        <v/>
      </c>
      <c r="AM32" s="131" t="str">
        <f t="shared" si="8"/>
        <v/>
      </c>
      <c r="AN32" s="131" t="str">
        <f t="shared" si="9"/>
        <v/>
      </c>
      <c r="AO32" s="131" t="str">
        <f t="shared" si="10"/>
        <v/>
      </c>
      <c r="AP32" s="131" t="str">
        <f t="shared" si="11"/>
        <v/>
      </c>
      <c r="AQ32" s="131" t="str">
        <f t="shared" si="12"/>
        <v/>
      </c>
    </row>
    <row r="33" ht="15.75" customHeight="1">
      <c r="A33" s="1"/>
      <c r="B33" s="126" t="str">
        <f t="shared" ref="B33:D33" si="28">AL33</f>
        <v/>
      </c>
      <c r="C33" s="127" t="str">
        <f t="shared" si="28"/>
        <v/>
      </c>
      <c r="D33" s="128" t="str">
        <f t="shared" si="28"/>
        <v/>
      </c>
      <c r="E33" s="13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01" t="str">
        <f t="shared" si="14"/>
        <v/>
      </c>
      <c r="Z33" s="1"/>
      <c r="AA33" s="1"/>
      <c r="AB33" s="1" t="str">
        <f>IFERROR(VLOOKUP(Z33,'MIS FINANZAS'!$H$7:$J$103,3,0),"")</f>
        <v/>
      </c>
      <c r="AC33" s="1" t="str">
        <f>IFERROR(VLOOKUP(Z33,'MIS FINANZAS'!$H$7:$L$103,5,0),"")</f>
        <v/>
      </c>
      <c r="AD33" s="101" t="str">
        <f t="shared" si="4"/>
        <v/>
      </c>
      <c r="AE33" s="101" t="str">
        <f t="shared" si="5"/>
        <v/>
      </c>
      <c r="AF33" s="1"/>
      <c r="AG33" s="1"/>
      <c r="AH33" s="1" t="str">
        <f>IFERROR(VLOOKUP(AF33,'MIS FINANZAS'!$H$7:$J$103,3,0),"")</f>
        <v/>
      </c>
      <c r="AI33" s="1" t="str">
        <f>IFERROR(VLOOKUP(AF33,'MIS FINANZAS'!$H$7:$L$103,5,0),"")</f>
        <v/>
      </c>
      <c r="AJ33" s="131" t="str">
        <f t="shared" si="6"/>
        <v/>
      </c>
      <c r="AK33" s="101">
        <v>17.0</v>
      </c>
      <c r="AL33" s="131" t="str">
        <f t="shared" si="7"/>
        <v/>
      </c>
      <c r="AM33" s="131" t="str">
        <f t="shared" si="8"/>
        <v/>
      </c>
      <c r="AN33" s="131" t="str">
        <f t="shared" si="9"/>
        <v/>
      </c>
      <c r="AO33" s="131" t="str">
        <f t="shared" si="10"/>
        <v/>
      </c>
      <c r="AP33" s="131" t="str">
        <f t="shared" si="11"/>
        <v/>
      </c>
      <c r="AQ33" s="131" t="str">
        <f t="shared" si="12"/>
        <v/>
      </c>
    </row>
    <row r="34" ht="15.75" customHeight="1">
      <c r="A34" s="1"/>
      <c r="B34" s="126" t="str">
        <f t="shared" ref="B34:D34" si="29">AL34</f>
        <v/>
      </c>
      <c r="C34" s="127" t="str">
        <f t="shared" si="29"/>
        <v/>
      </c>
      <c r="D34" s="128" t="str">
        <f t="shared" si="29"/>
        <v/>
      </c>
      <c r="E34" s="13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01" t="str">
        <f t="shared" si="14"/>
        <v/>
      </c>
      <c r="Z34" s="1"/>
      <c r="AA34" s="1"/>
      <c r="AB34" s="1" t="str">
        <f>IFERROR(VLOOKUP(Z34,'MIS FINANZAS'!$H$7:$J$103,3,0),"")</f>
        <v/>
      </c>
      <c r="AC34" s="1" t="str">
        <f>IFERROR(VLOOKUP(Z34,'MIS FINANZAS'!$H$7:$L$103,5,0),"")</f>
        <v/>
      </c>
      <c r="AD34" s="101" t="str">
        <f t="shared" si="4"/>
        <v/>
      </c>
      <c r="AE34" s="101" t="str">
        <f t="shared" si="5"/>
        <v/>
      </c>
      <c r="AF34" s="1"/>
      <c r="AG34" s="1"/>
      <c r="AH34" s="1" t="str">
        <f>IFERROR(VLOOKUP(AF34,'MIS FINANZAS'!$H$7:$J$103,3,0),"")</f>
        <v/>
      </c>
      <c r="AI34" s="1" t="str">
        <f>IFERROR(VLOOKUP(AF34,'MIS FINANZAS'!$H$7:$L$103,5,0),"")</f>
        <v/>
      </c>
      <c r="AJ34" s="131" t="str">
        <f t="shared" si="6"/>
        <v/>
      </c>
      <c r="AK34" s="101">
        <v>18.0</v>
      </c>
      <c r="AL34" s="131" t="str">
        <f t="shared" si="7"/>
        <v/>
      </c>
      <c r="AM34" s="131" t="str">
        <f t="shared" si="8"/>
        <v/>
      </c>
      <c r="AN34" s="131" t="str">
        <f t="shared" si="9"/>
        <v/>
      </c>
      <c r="AO34" s="131" t="str">
        <f t="shared" si="10"/>
        <v/>
      </c>
      <c r="AP34" s="131" t="str">
        <f t="shared" si="11"/>
        <v/>
      </c>
      <c r="AQ34" s="131" t="str">
        <f t="shared" si="12"/>
        <v/>
      </c>
    </row>
    <row r="35" ht="15.75" customHeight="1">
      <c r="A35" s="1"/>
      <c r="B35" s="126" t="str">
        <f t="shared" ref="B35:D35" si="30">AL35</f>
        <v/>
      </c>
      <c r="C35" s="127" t="str">
        <f t="shared" si="30"/>
        <v/>
      </c>
      <c r="D35" s="128" t="str">
        <f t="shared" si="30"/>
        <v/>
      </c>
      <c r="E35" s="13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01" t="str">
        <f t="shared" si="14"/>
        <v/>
      </c>
      <c r="Z35" s="1"/>
      <c r="AA35" s="1"/>
      <c r="AB35" s="1" t="str">
        <f>IFERROR(VLOOKUP(Z35,'MIS FINANZAS'!$H$7:$J$103,3,0),"")</f>
        <v/>
      </c>
      <c r="AC35" s="1" t="str">
        <f>IFERROR(VLOOKUP(Z35,'MIS FINANZAS'!$H$7:$L$103,5,0),"")</f>
        <v/>
      </c>
      <c r="AD35" s="101" t="str">
        <f t="shared" si="4"/>
        <v/>
      </c>
      <c r="AE35" s="101" t="str">
        <f t="shared" si="5"/>
        <v/>
      </c>
      <c r="AF35" s="1"/>
      <c r="AG35" s="1"/>
      <c r="AH35" s="1" t="str">
        <f>IFERROR(VLOOKUP(AF35,'MIS FINANZAS'!$H$7:$J$103,3,0),"")</f>
        <v/>
      </c>
      <c r="AI35" s="1" t="str">
        <f>IFERROR(VLOOKUP(AF35,'MIS FINANZAS'!$H$7:$L$103,5,0),"")</f>
        <v/>
      </c>
      <c r="AJ35" s="131" t="str">
        <f t="shared" si="6"/>
        <v/>
      </c>
      <c r="AK35" s="101">
        <v>19.0</v>
      </c>
      <c r="AL35" s="131" t="str">
        <f t="shared" si="7"/>
        <v/>
      </c>
      <c r="AM35" s="131" t="str">
        <f t="shared" si="8"/>
        <v/>
      </c>
      <c r="AN35" s="131" t="str">
        <f t="shared" si="9"/>
        <v/>
      </c>
      <c r="AO35" s="131" t="str">
        <f t="shared" si="10"/>
        <v/>
      </c>
      <c r="AP35" s="131" t="str">
        <f t="shared" si="11"/>
        <v/>
      </c>
      <c r="AQ35" s="131" t="str">
        <f t="shared" si="12"/>
        <v/>
      </c>
    </row>
    <row r="36" ht="15.75" customHeight="1">
      <c r="A36" s="1"/>
      <c r="B36" s="126" t="str">
        <f t="shared" ref="B36:D36" si="31">AL36</f>
        <v/>
      </c>
      <c r="C36" s="127" t="str">
        <f t="shared" si="31"/>
        <v/>
      </c>
      <c r="D36" s="128" t="str">
        <f t="shared" si="31"/>
        <v/>
      </c>
      <c r="E36" s="13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01" t="str">
        <f t="shared" si="14"/>
        <v/>
      </c>
      <c r="Z36" s="1"/>
      <c r="AA36" s="1"/>
      <c r="AB36" s="1" t="str">
        <f>IFERROR(VLOOKUP(Z36,'MIS FINANZAS'!$H$7:$J$103,3,0),"")</f>
        <v/>
      </c>
      <c r="AC36" s="1" t="str">
        <f>IFERROR(VLOOKUP(Z36,'MIS FINANZAS'!$H$7:$L$103,5,0),"")</f>
        <v/>
      </c>
      <c r="AD36" s="101" t="str">
        <f t="shared" si="4"/>
        <v/>
      </c>
      <c r="AE36" s="101" t="str">
        <f t="shared" si="5"/>
        <v/>
      </c>
      <c r="AF36" s="1"/>
      <c r="AG36" s="1"/>
      <c r="AH36" s="1" t="str">
        <f>IFERROR(VLOOKUP(AF36,'MIS FINANZAS'!$H$7:$J$103,3,0),"")</f>
        <v/>
      </c>
      <c r="AI36" s="1" t="str">
        <f>IFERROR(VLOOKUP(AF36,'MIS FINANZAS'!$H$7:$L$103,5,0),"")</f>
        <v/>
      </c>
      <c r="AJ36" s="131" t="str">
        <f t="shared" si="6"/>
        <v/>
      </c>
      <c r="AK36" s="101">
        <v>20.0</v>
      </c>
      <c r="AL36" s="131" t="str">
        <f t="shared" si="7"/>
        <v/>
      </c>
      <c r="AM36" s="131" t="str">
        <f t="shared" si="8"/>
        <v/>
      </c>
      <c r="AN36" s="131" t="str">
        <f t="shared" si="9"/>
        <v/>
      </c>
      <c r="AO36" s="131" t="str">
        <f t="shared" si="10"/>
        <v/>
      </c>
      <c r="AP36" s="131" t="str">
        <f t="shared" si="11"/>
        <v/>
      </c>
      <c r="AQ36" s="131" t="str">
        <f t="shared" si="12"/>
        <v/>
      </c>
    </row>
    <row r="37" ht="15.75" customHeight="1">
      <c r="A37" s="1"/>
      <c r="B37" s="126" t="str">
        <f t="shared" ref="B37:D37" si="32">AL37</f>
        <v/>
      </c>
      <c r="C37" s="127" t="str">
        <f t="shared" si="32"/>
        <v/>
      </c>
      <c r="D37" s="128" t="str">
        <f t="shared" si="32"/>
        <v/>
      </c>
      <c r="E37" s="13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01" t="str">
        <f t="shared" si="14"/>
        <v/>
      </c>
      <c r="Z37" s="1"/>
      <c r="AA37" s="1"/>
      <c r="AB37" s="1" t="str">
        <f>IFERROR(VLOOKUP(Z37,'MIS FINANZAS'!$H$7:$J$103,3,0),"")</f>
        <v/>
      </c>
      <c r="AC37" s="1" t="str">
        <f>IFERROR(VLOOKUP(Z37,'MIS FINANZAS'!$H$7:$L$103,5,0),"")</f>
        <v/>
      </c>
      <c r="AD37" s="101" t="str">
        <f t="shared" si="4"/>
        <v/>
      </c>
      <c r="AE37" s="101" t="str">
        <f t="shared" si="5"/>
        <v/>
      </c>
      <c r="AF37" s="1"/>
      <c r="AG37" s="1"/>
      <c r="AH37" s="1" t="str">
        <f>IFERROR(VLOOKUP(AF37,'MIS FINANZAS'!$H$7:$J$103,3,0),"")</f>
        <v/>
      </c>
      <c r="AI37" s="1" t="str">
        <f>IFERROR(VLOOKUP(AF37,'MIS FINANZAS'!$H$7:$L$103,5,0),"")</f>
        <v/>
      </c>
      <c r="AJ37" s="131" t="str">
        <f t="shared" si="6"/>
        <v/>
      </c>
      <c r="AK37" s="101">
        <v>21.0</v>
      </c>
      <c r="AL37" s="131" t="str">
        <f t="shared" si="7"/>
        <v/>
      </c>
      <c r="AM37" s="131" t="str">
        <f t="shared" si="8"/>
        <v/>
      </c>
      <c r="AN37" s="131" t="str">
        <f t="shared" si="9"/>
        <v/>
      </c>
      <c r="AO37" s="131" t="str">
        <f t="shared" si="10"/>
        <v/>
      </c>
      <c r="AP37" s="131" t="str">
        <f t="shared" si="11"/>
        <v/>
      </c>
      <c r="AQ37" s="131" t="str">
        <f t="shared" si="12"/>
        <v/>
      </c>
    </row>
    <row r="38" ht="15.75" customHeight="1">
      <c r="A38" s="1"/>
      <c r="B38" s="126" t="str">
        <f t="shared" ref="B38:D38" si="33">AL38</f>
        <v/>
      </c>
      <c r="C38" s="127" t="str">
        <f t="shared" si="33"/>
        <v/>
      </c>
      <c r="D38" s="128" t="str">
        <f t="shared" si="33"/>
        <v/>
      </c>
      <c r="E38" s="13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01" t="str">
        <f t="shared" si="14"/>
        <v/>
      </c>
      <c r="Z38" s="1"/>
      <c r="AA38" s="1"/>
      <c r="AB38" s="1" t="str">
        <f>IFERROR(VLOOKUP(Z38,'MIS FINANZAS'!$H$7:$J$103,3,0),"")</f>
        <v/>
      </c>
      <c r="AC38" s="1" t="str">
        <f>IFERROR(VLOOKUP(Z38,'MIS FINANZAS'!$H$7:$L$103,5,0),"")</f>
        <v/>
      </c>
      <c r="AD38" s="101" t="str">
        <f t="shared" si="4"/>
        <v/>
      </c>
      <c r="AE38" s="101" t="str">
        <f t="shared" si="5"/>
        <v/>
      </c>
      <c r="AF38" s="1"/>
      <c r="AG38" s="1"/>
      <c r="AH38" s="1" t="str">
        <f>IFERROR(VLOOKUP(AF38,'MIS FINANZAS'!$H$7:$J$103,3,0),"")</f>
        <v/>
      </c>
      <c r="AI38" s="1" t="str">
        <f>IFERROR(VLOOKUP(AF38,'MIS FINANZAS'!$H$7:$L$103,5,0),"")</f>
        <v/>
      </c>
      <c r="AJ38" s="131" t="str">
        <f t="shared" si="6"/>
        <v/>
      </c>
      <c r="AK38" s="101">
        <v>22.0</v>
      </c>
      <c r="AL38" s="131" t="str">
        <f t="shared" si="7"/>
        <v/>
      </c>
      <c r="AM38" s="131" t="str">
        <f t="shared" si="8"/>
        <v/>
      </c>
      <c r="AN38" s="131" t="str">
        <f t="shared" si="9"/>
        <v/>
      </c>
      <c r="AO38" s="131" t="str">
        <f t="shared" si="10"/>
        <v/>
      </c>
      <c r="AP38" s="131" t="str">
        <f t="shared" si="11"/>
        <v/>
      </c>
      <c r="AQ38" s="131" t="str">
        <f t="shared" si="12"/>
        <v/>
      </c>
    </row>
    <row r="39" ht="15.75" customHeight="1">
      <c r="A39" s="1"/>
      <c r="B39" s="126" t="str">
        <f t="shared" ref="B39:D39" si="34">AL39</f>
        <v/>
      </c>
      <c r="C39" s="127" t="str">
        <f t="shared" si="34"/>
        <v/>
      </c>
      <c r="D39" s="128" t="str">
        <f t="shared" si="34"/>
        <v/>
      </c>
      <c r="E39" s="13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01" t="str">
        <f t="shared" si="14"/>
        <v/>
      </c>
      <c r="Z39" s="1"/>
      <c r="AA39" s="1"/>
      <c r="AB39" s="1" t="str">
        <f>IFERROR(VLOOKUP(Z39,'MIS FINANZAS'!$H$7:$J$103,3,0),"")</f>
        <v/>
      </c>
      <c r="AC39" s="1" t="str">
        <f>IFERROR(VLOOKUP(Z39,'MIS FINANZAS'!$H$7:$L$103,5,0),"")</f>
        <v/>
      </c>
      <c r="AD39" s="101" t="str">
        <f t="shared" si="4"/>
        <v/>
      </c>
      <c r="AE39" s="101" t="str">
        <f t="shared" si="5"/>
        <v/>
      </c>
      <c r="AF39" s="1"/>
      <c r="AG39" s="1"/>
      <c r="AH39" s="1" t="str">
        <f>IFERROR(VLOOKUP(AF39,'MIS FINANZAS'!$H$7:$J$103,3,0),"")</f>
        <v/>
      </c>
      <c r="AI39" s="1" t="str">
        <f>IFERROR(VLOOKUP(AF39,'MIS FINANZAS'!$H$7:$L$103,5,0),"")</f>
        <v/>
      </c>
      <c r="AJ39" s="131" t="str">
        <f t="shared" si="6"/>
        <v/>
      </c>
      <c r="AK39" s="101">
        <v>23.0</v>
      </c>
      <c r="AL39" s="131" t="str">
        <f t="shared" si="7"/>
        <v/>
      </c>
      <c r="AM39" s="131" t="str">
        <f t="shared" si="8"/>
        <v/>
      </c>
      <c r="AN39" s="131" t="str">
        <f t="shared" si="9"/>
        <v/>
      </c>
      <c r="AO39" s="131" t="str">
        <f t="shared" si="10"/>
        <v/>
      </c>
      <c r="AP39" s="131" t="str">
        <f t="shared" si="11"/>
        <v/>
      </c>
      <c r="AQ39" s="131" t="str">
        <f t="shared" si="12"/>
        <v/>
      </c>
    </row>
    <row r="40" ht="15.75" customHeight="1">
      <c r="A40" s="1"/>
      <c r="B40" s="126" t="str">
        <f t="shared" ref="B40:D40" si="35">AL40</f>
        <v/>
      </c>
      <c r="C40" s="127" t="str">
        <f t="shared" si="35"/>
        <v/>
      </c>
      <c r="D40" s="128" t="str">
        <f t="shared" si="35"/>
        <v/>
      </c>
      <c r="E40" s="13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01" t="str">
        <f t="shared" si="14"/>
        <v/>
      </c>
      <c r="Z40" s="1"/>
      <c r="AA40" s="1"/>
      <c r="AB40" s="1" t="str">
        <f>IFERROR(VLOOKUP(Z40,'MIS FINANZAS'!$H$7:$J$103,3,0),"")</f>
        <v/>
      </c>
      <c r="AC40" s="1" t="str">
        <f>IFERROR(VLOOKUP(Z40,'MIS FINANZAS'!$H$7:$L$103,5,0),"")</f>
        <v/>
      </c>
      <c r="AD40" s="101" t="str">
        <f t="shared" si="4"/>
        <v/>
      </c>
      <c r="AE40" s="101" t="str">
        <f t="shared" si="5"/>
        <v/>
      </c>
      <c r="AF40" s="1"/>
      <c r="AG40" s="1"/>
      <c r="AH40" s="1" t="str">
        <f>IFERROR(VLOOKUP(AF40,'MIS FINANZAS'!$H$7:$J$103,3,0),"")</f>
        <v/>
      </c>
      <c r="AI40" s="1" t="str">
        <f>IFERROR(VLOOKUP(AF40,'MIS FINANZAS'!$H$7:$L$103,5,0),"")</f>
        <v/>
      </c>
      <c r="AJ40" s="131" t="str">
        <f t="shared" si="6"/>
        <v/>
      </c>
      <c r="AK40" s="101">
        <v>24.0</v>
      </c>
      <c r="AL40" s="131" t="str">
        <f t="shared" si="7"/>
        <v/>
      </c>
      <c r="AM40" s="131" t="str">
        <f t="shared" si="8"/>
        <v/>
      </c>
      <c r="AN40" s="131" t="str">
        <f t="shared" si="9"/>
        <v/>
      </c>
      <c r="AO40" s="131" t="str">
        <f t="shared" si="10"/>
        <v/>
      </c>
      <c r="AP40" s="131" t="str">
        <f t="shared" si="11"/>
        <v/>
      </c>
      <c r="AQ40" s="131" t="str">
        <f t="shared" si="12"/>
        <v/>
      </c>
    </row>
    <row r="41" ht="15.75" customHeight="1">
      <c r="A41" s="1"/>
      <c r="B41" s="126" t="str">
        <f t="shared" ref="B41:D41" si="36">AL41</f>
        <v/>
      </c>
      <c r="C41" s="127" t="str">
        <f t="shared" si="36"/>
        <v/>
      </c>
      <c r="D41" s="128" t="str">
        <f t="shared" si="36"/>
        <v/>
      </c>
      <c r="E41" s="13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01" t="str">
        <f t="shared" si="14"/>
        <v/>
      </c>
      <c r="Z41" s="1"/>
      <c r="AA41" s="1"/>
      <c r="AB41" s="1" t="str">
        <f>IFERROR(VLOOKUP(Z41,'MIS FINANZAS'!$H$7:$J$103,3,0),"")</f>
        <v/>
      </c>
      <c r="AC41" s="1" t="str">
        <f>IFERROR(VLOOKUP(Z41,'MIS FINANZAS'!$H$7:$L$103,5,0),"")</f>
        <v/>
      </c>
      <c r="AD41" s="101" t="str">
        <f t="shared" si="4"/>
        <v/>
      </c>
      <c r="AE41" s="101" t="str">
        <f t="shared" si="5"/>
        <v/>
      </c>
      <c r="AF41" s="1"/>
      <c r="AG41" s="1"/>
      <c r="AH41" s="1" t="str">
        <f>IFERROR(VLOOKUP(AF41,'MIS FINANZAS'!$H$7:$J$103,3,0),"")</f>
        <v/>
      </c>
      <c r="AI41" s="1" t="str">
        <f>IFERROR(VLOOKUP(AF41,'MIS FINANZAS'!$H$7:$L$103,5,0),"")</f>
        <v/>
      </c>
      <c r="AJ41" s="131" t="str">
        <f t="shared" si="6"/>
        <v/>
      </c>
      <c r="AK41" s="101">
        <v>25.0</v>
      </c>
      <c r="AL41" s="131" t="str">
        <f t="shared" si="7"/>
        <v/>
      </c>
      <c r="AM41" s="131" t="str">
        <f t="shared" si="8"/>
        <v/>
      </c>
      <c r="AN41" s="131" t="str">
        <f t="shared" si="9"/>
        <v/>
      </c>
      <c r="AO41" s="131" t="str">
        <f t="shared" si="10"/>
        <v/>
      </c>
      <c r="AP41" s="131" t="str">
        <f t="shared" si="11"/>
        <v/>
      </c>
      <c r="AQ41" s="131" t="str">
        <f t="shared" si="12"/>
        <v/>
      </c>
    </row>
    <row r="42" ht="15.75" customHeight="1">
      <c r="A42" s="1"/>
      <c r="B42" s="126" t="str">
        <f t="shared" ref="B42:D42" si="37">AL42</f>
        <v/>
      </c>
      <c r="C42" s="127" t="str">
        <f t="shared" si="37"/>
        <v/>
      </c>
      <c r="D42" s="128" t="str">
        <f t="shared" si="37"/>
        <v/>
      </c>
      <c r="E42" s="13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01" t="str">
        <f t="shared" si="14"/>
        <v/>
      </c>
      <c r="Z42" s="1"/>
      <c r="AA42" s="1"/>
      <c r="AB42" s="1" t="str">
        <f>IFERROR(VLOOKUP(Z42,'MIS FINANZAS'!$H$7:$J$103,3,0),"")</f>
        <v/>
      </c>
      <c r="AC42" s="1" t="str">
        <f>IFERROR(VLOOKUP(Z42,'MIS FINANZAS'!$H$7:$L$103,5,0),"")</f>
        <v/>
      </c>
      <c r="AD42" s="101" t="str">
        <f t="shared" si="4"/>
        <v/>
      </c>
      <c r="AE42" s="101" t="str">
        <f t="shared" si="5"/>
        <v/>
      </c>
      <c r="AF42" s="1"/>
      <c r="AG42" s="1"/>
      <c r="AH42" s="1" t="str">
        <f>IFERROR(VLOOKUP(AF42,'MIS FINANZAS'!$H$7:$J$103,3,0),"")</f>
        <v/>
      </c>
      <c r="AI42" s="1" t="str">
        <f>IFERROR(VLOOKUP(AF42,'MIS FINANZAS'!$H$7:$L$103,5,0),"")</f>
        <v/>
      </c>
      <c r="AJ42" s="131" t="str">
        <f t="shared" si="6"/>
        <v/>
      </c>
      <c r="AK42" s="101">
        <v>26.0</v>
      </c>
      <c r="AL42" s="131" t="str">
        <f t="shared" si="7"/>
        <v/>
      </c>
      <c r="AM42" s="131" t="str">
        <f t="shared" si="8"/>
        <v/>
      </c>
      <c r="AN42" s="131" t="str">
        <f t="shared" si="9"/>
        <v/>
      </c>
      <c r="AO42" s="131" t="str">
        <f t="shared" si="10"/>
        <v/>
      </c>
      <c r="AP42" s="131" t="str">
        <f t="shared" si="11"/>
        <v/>
      </c>
      <c r="AQ42" s="131" t="str">
        <f t="shared" si="12"/>
        <v/>
      </c>
    </row>
    <row r="43" ht="15.75" customHeight="1">
      <c r="A43" s="1"/>
      <c r="B43" s="126" t="str">
        <f t="shared" ref="B43:D43" si="38">AL43</f>
        <v/>
      </c>
      <c r="C43" s="127" t="str">
        <f t="shared" si="38"/>
        <v/>
      </c>
      <c r="D43" s="128" t="str">
        <f t="shared" si="38"/>
        <v/>
      </c>
      <c r="E43" s="13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01" t="str">
        <f t="shared" si="14"/>
        <v/>
      </c>
      <c r="Z43" s="1"/>
      <c r="AA43" s="1"/>
      <c r="AB43" s="1" t="str">
        <f>IFERROR(VLOOKUP(Z43,'MIS FINANZAS'!$H$7:$J$103,3,0),"")</f>
        <v/>
      </c>
      <c r="AC43" s="1" t="str">
        <f>IFERROR(VLOOKUP(Z43,'MIS FINANZAS'!$H$7:$L$103,5,0),"")</f>
        <v/>
      </c>
      <c r="AD43" s="101" t="str">
        <f t="shared" si="4"/>
        <v/>
      </c>
      <c r="AE43" s="101" t="str">
        <f t="shared" si="5"/>
        <v/>
      </c>
      <c r="AF43" s="1"/>
      <c r="AG43" s="1"/>
      <c r="AH43" s="1" t="str">
        <f>IFERROR(VLOOKUP(AF43,'MIS FINANZAS'!$H$7:$J$103,3,0),"")</f>
        <v/>
      </c>
      <c r="AI43" s="1" t="str">
        <f>IFERROR(VLOOKUP(AF43,'MIS FINANZAS'!$H$7:$L$103,5,0),"")</f>
        <v/>
      </c>
      <c r="AJ43" s="131" t="str">
        <f t="shared" si="6"/>
        <v/>
      </c>
      <c r="AK43" s="101">
        <v>27.0</v>
      </c>
      <c r="AL43" s="131" t="str">
        <f t="shared" si="7"/>
        <v/>
      </c>
      <c r="AM43" s="131" t="str">
        <f t="shared" si="8"/>
        <v/>
      </c>
      <c r="AN43" s="131" t="str">
        <f t="shared" si="9"/>
        <v/>
      </c>
      <c r="AO43" s="131" t="str">
        <f t="shared" si="10"/>
        <v/>
      </c>
      <c r="AP43" s="131" t="str">
        <f t="shared" si="11"/>
        <v/>
      </c>
      <c r="AQ43" s="131" t="str">
        <f t="shared" si="12"/>
        <v/>
      </c>
    </row>
    <row r="44" ht="15.75" customHeight="1">
      <c r="A44" s="1"/>
      <c r="B44" s="126" t="str">
        <f t="shared" ref="B44:D44" si="39">AL44</f>
        <v/>
      </c>
      <c r="C44" s="127" t="str">
        <f t="shared" si="39"/>
        <v/>
      </c>
      <c r="D44" s="128" t="str">
        <f t="shared" si="39"/>
        <v/>
      </c>
      <c r="E44" s="13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01" t="str">
        <f t="shared" si="14"/>
        <v/>
      </c>
      <c r="Z44" s="1"/>
      <c r="AA44" s="1"/>
      <c r="AB44" s="1" t="str">
        <f>IFERROR(VLOOKUP(Z44,'MIS FINANZAS'!$H$7:$J$103,3,0),"")</f>
        <v/>
      </c>
      <c r="AC44" s="1" t="str">
        <f>IFERROR(VLOOKUP(Z44,'MIS FINANZAS'!$H$7:$L$103,5,0),"")</f>
        <v/>
      </c>
      <c r="AD44" s="101" t="str">
        <f t="shared" si="4"/>
        <v/>
      </c>
      <c r="AE44" s="101" t="str">
        <f t="shared" si="5"/>
        <v/>
      </c>
      <c r="AF44" s="1"/>
      <c r="AG44" s="1"/>
      <c r="AH44" s="1" t="str">
        <f>IFERROR(VLOOKUP(AF44,'MIS FINANZAS'!$H$7:$J$103,3,0),"")</f>
        <v/>
      </c>
      <c r="AI44" s="1" t="str">
        <f>IFERROR(VLOOKUP(AF44,'MIS FINANZAS'!$H$7:$L$103,5,0),"")</f>
        <v/>
      </c>
      <c r="AJ44" s="131" t="str">
        <f t="shared" si="6"/>
        <v/>
      </c>
      <c r="AK44" s="101">
        <v>28.0</v>
      </c>
      <c r="AL44" s="131" t="str">
        <f t="shared" si="7"/>
        <v/>
      </c>
      <c r="AM44" s="131" t="str">
        <f t="shared" si="8"/>
        <v/>
      </c>
      <c r="AN44" s="131" t="str">
        <f t="shared" si="9"/>
        <v/>
      </c>
      <c r="AO44" s="131" t="str">
        <f t="shared" si="10"/>
        <v/>
      </c>
      <c r="AP44" s="131" t="str">
        <f t="shared" si="11"/>
        <v/>
      </c>
      <c r="AQ44" s="131" t="str">
        <f t="shared" si="12"/>
        <v/>
      </c>
    </row>
    <row r="45" ht="15.75" customHeight="1">
      <c r="A45" s="1"/>
      <c r="B45" s="126" t="str">
        <f t="shared" ref="B45:D45" si="40">AL45</f>
        <v/>
      </c>
      <c r="C45" s="127" t="str">
        <f t="shared" si="40"/>
        <v/>
      </c>
      <c r="D45" s="128" t="str">
        <f t="shared" si="40"/>
        <v/>
      </c>
      <c r="E45" s="13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01" t="str">
        <f t="shared" si="14"/>
        <v/>
      </c>
      <c r="Z45" s="1"/>
      <c r="AA45" s="1"/>
      <c r="AB45" s="1" t="str">
        <f>IFERROR(VLOOKUP(Z45,'MIS FINANZAS'!$H$7:$J$103,3,0),"")</f>
        <v/>
      </c>
      <c r="AC45" s="1" t="str">
        <f>IFERROR(VLOOKUP(Z45,'MIS FINANZAS'!$H$7:$L$103,5,0),"")</f>
        <v/>
      </c>
      <c r="AD45" s="101" t="str">
        <f t="shared" si="4"/>
        <v/>
      </c>
      <c r="AE45" s="101" t="str">
        <f t="shared" si="5"/>
        <v/>
      </c>
      <c r="AF45" s="1"/>
      <c r="AG45" s="1"/>
      <c r="AH45" s="1" t="str">
        <f>IFERROR(VLOOKUP(AF45,'MIS FINANZAS'!$H$7:$J$103,3,0),"")</f>
        <v/>
      </c>
      <c r="AI45" s="1" t="str">
        <f>IFERROR(VLOOKUP(AF45,'MIS FINANZAS'!$H$7:$L$103,5,0),"")</f>
        <v/>
      </c>
      <c r="AJ45" s="131" t="str">
        <f t="shared" si="6"/>
        <v/>
      </c>
      <c r="AK45" s="101">
        <v>29.0</v>
      </c>
      <c r="AL45" s="131" t="str">
        <f t="shared" si="7"/>
        <v/>
      </c>
      <c r="AM45" s="131" t="str">
        <f t="shared" si="8"/>
        <v/>
      </c>
      <c r="AN45" s="131" t="str">
        <f t="shared" si="9"/>
        <v/>
      </c>
      <c r="AO45" s="131" t="str">
        <f t="shared" si="10"/>
        <v/>
      </c>
      <c r="AP45" s="131" t="str">
        <f t="shared" si="11"/>
        <v/>
      </c>
      <c r="AQ45" s="131" t="str">
        <f t="shared" si="12"/>
        <v/>
      </c>
    </row>
    <row r="46" ht="15.75" customHeight="1">
      <c r="A46" s="1"/>
      <c r="B46" s="126" t="str">
        <f t="shared" ref="B46:D46" si="41">AL46</f>
        <v/>
      </c>
      <c r="C46" s="127" t="str">
        <f t="shared" si="41"/>
        <v/>
      </c>
      <c r="D46" s="128" t="str">
        <f t="shared" si="41"/>
        <v/>
      </c>
      <c r="E46" s="13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01" t="str">
        <f t="shared" si="14"/>
        <v/>
      </c>
      <c r="Z46" s="1"/>
      <c r="AA46" s="1"/>
      <c r="AB46" s="1" t="str">
        <f>IFERROR(VLOOKUP(Z46,'MIS FINANZAS'!$H$7:$J$103,3,0),"")</f>
        <v/>
      </c>
      <c r="AC46" s="1" t="str">
        <f>IFERROR(VLOOKUP(Z46,'MIS FINANZAS'!$H$7:$L$103,5,0),"")</f>
        <v/>
      </c>
      <c r="AD46" s="101" t="str">
        <f t="shared" si="4"/>
        <v/>
      </c>
      <c r="AE46" s="101" t="str">
        <f t="shared" si="5"/>
        <v/>
      </c>
      <c r="AF46" s="1"/>
      <c r="AG46" s="1"/>
      <c r="AH46" s="1" t="str">
        <f>IFERROR(VLOOKUP(AF46,'MIS FINANZAS'!$H$7:$J$103,3,0),"")</f>
        <v/>
      </c>
      <c r="AI46" s="1" t="str">
        <f>IFERROR(VLOOKUP(AF46,'MIS FINANZAS'!$H$7:$L$103,5,0),"")</f>
        <v/>
      </c>
      <c r="AJ46" s="131" t="str">
        <f t="shared" si="6"/>
        <v/>
      </c>
      <c r="AK46" s="101">
        <v>30.0</v>
      </c>
      <c r="AL46" s="131" t="str">
        <f t="shared" si="7"/>
        <v/>
      </c>
      <c r="AM46" s="131" t="str">
        <f t="shared" si="8"/>
        <v/>
      </c>
      <c r="AN46" s="131" t="str">
        <f t="shared" si="9"/>
        <v/>
      </c>
      <c r="AO46" s="131" t="str">
        <f t="shared" si="10"/>
        <v/>
      </c>
      <c r="AP46" s="131" t="str">
        <f t="shared" si="11"/>
        <v/>
      </c>
      <c r="AQ46" s="131" t="str">
        <f t="shared" si="12"/>
        <v/>
      </c>
    </row>
    <row r="47" ht="15.75" customHeight="1">
      <c r="A47" s="1"/>
      <c r="B47" s="126" t="str">
        <f t="shared" ref="B47:D47" si="42">AL47</f>
        <v/>
      </c>
      <c r="C47" s="127" t="str">
        <f t="shared" si="42"/>
        <v/>
      </c>
      <c r="D47" s="128" t="str">
        <f t="shared" si="42"/>
        <v/>
      </c>
      <c r="E47" s="13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01" t="str">
        <f t="shared" si="14"/>
        <v/>
      </c>
      <c r="Z47" s="1"/>
      <c r="AA47" s="1"/>
      <c r="AB47" s="1" t="str">
        <f>IFERROR(VLOOKUP(Z47,'MIS FINANZAS'!$H$7:$J$103,3,0),"")</f>
        <v/>
      </c>
      <c r="AC47" s="1" t="str">
        <f>IFERROR(VLOOKUP(Z47,'MIS FINANZAS'!$H$7:$L$103,5,0),"")</f>
        <v/>
      </c>
      <c r="AD47" s="101" t="str">
        <f t="shared" si="4"/>
        <v/>
      </c>
      <c r="AE47" s="101" t="str">
        <f t="shared" si="5"/>
        <v/>
      </c>
      <c r="AF47" s="1"/>
      <c r="AG47" s="1"/>
      <c r="AH47" s="1" t="str">
        <f>IFERROR(VLOOKUP(AF47,'MIS FINANZAS'!$H$7:$J$103,3,0),"")</f>
        <v/>
      </c>
      <c r="AI47" s="1" t="str">
        <f>IFERROR(VLOOKUP(AF47,'MIS FINANZAS'!$H$7:$L$103,5,0),"")</f>
        <v/>
      </c>
      <c r="AJ47" s="131" t="str">
        <f t="shared" si="6"/>
        <v/>
      </c>
      <c r="AK47" s="101">
        <v>31.0</v>
      </c>
      <c r="AL47" s="131" t="str">
        <f t="shared" si="7"/>
        <v/>
      </c>
      <c r="AM47" s="131" t="str">
        <f t="shared" si="8"/>
        <v/>
      </c>
      <c r="AN47" s="131" t="str">
        <f t="shared" si="9"/>
        <v/>
      </c>
      <c r="AO47" s="131" t="str">
        <f t="shared" si="10"/>
        <v/>
      </c>
      <c r="AP47" s="131" t="str">
        <f t="shared" si="11"/>
        <v/>
      </c>
      <c r="AQ47" s="131" t="str">
        <f t="shared" si="12"/>
        <v/>
      </c>
    </row>
    <row r="48" ht="15.75" customHeight="1">
      <c r="A48" s="1"/>
      <c r="B48" s="126" t="str">
        <f t="shared" ref="B48:D48" si="43">AL48</f>
        <v/>
      </c>
      <c r="C48" s="127" t="str">
        <f t="shared" si="43"/>
        <v/>
      </c>
      <c r="D48" s="128" t="str">
        <f t="shared" si="43"/>
        <v/>
      </c>
      <c r="E48" s="13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01" t="str">
        <f t="shared" si="14"/>
        <v/>
      </c>
      <c r="Z48" s="1"/>
      <c r="AA48" s="1"/>
      <c r="AB48" s="1" t="str">
        <f>IFERROR(VLOOKUP(Z48,'MIS FINANZAS'!$H$7:$J$103,3,0),"")</f>
        <v/>
      </c>
      <c r="AC48" s="1" t="str">
        <f>IFERROR(VLOOKUP(Z48,'MIS FINANZAS'!$H$7:$L$103,5,0),"")</f>
        <v/>
      </c>
      <c r="AD48" s="101" t="str">
        <f t="shared" si="4"/>
        <v/>
      </c>
      <c r="AE48" s="101" t="str">
        <f t="shared" si="5"/>
        <v/>
      </c>
      <c r="AF48" s="1"/>
      <c r="AG48" s="1"/>
      <c r="AH48" s="1" t="str">
        <f>IFERROR(VLOOKUP(AF48,'MIS FINANZAS'!$H$7:$J$103,3,0),"")</f>
        <v/>
      </c>
      <c r="AI48" s="1" t="str">
        <f>IFERROR(VLOOKUP(AF48,'MIS FINANZAS'!$H$7:$L$103,5,0),"")</f>
        <v/>
      </c>
      <c r="AJ48" s="131" t="str">
        <f t="shared" si="6"/>
        <v/>
      </c>
      <c r="AK48" s="101">
        <v>32.0</v>
      </c>
      <c r="AL48" s="131" t="str">
        <f t="shared" si="7"/>
        <v/>
      </c>
      <c r="AM48" s="131" t="str">
        <f t="shared" si="8"/>
        <v/>
      </c>
      <c r="AN48" s="131" t="str">
        <f t="shared" si="9"/>
        <v/>
      </c>
      <c r="AO48" s="131" t="str">
        <f t="shared" si="10"/>
        <v/>
      </c>
      <c r="AP48" s="131" t="str">
        <f t="shared" si="11"/>
        <v/>
      </c>
      <c r="AQ48" s="131" t="str">
        <f t="shared" si="12"/>
        <v/>
      </c>
    </row>
    <row r="49" ht="15.75" customHeight="1">
      <c r="A49" s="1"/>
      <c r="B49" s="126" t="str">
        <f t="shared" ref="B49:D49" si="44">AL49</f>
        <v/>
      </c>
      <c r="C49" s="127" t="str">
        <f t="shared" si="44"/>
        <v/>
      </c>
      <c r="D49" s="128" t="str">
        <f t="shared" si="44"/>
        <v/>
      </c>
      <c r="E49" s="13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01" t="str">
        <f t="shared" si="14"/>
        <v/>
      </c>
      <c r="Z49" s="1"/>
      <c r="AA49" s="1"/>
      <c r="AB49" s="1" t="str">
        <f>IFERROR(VLOOKUP(Z49,'MIS FINANZAS'!$H$7:$J$103,3,0),"")</f>
        <v/>
      </c>
      <c r="AC49" s="1" t="str">
        <f>IFERROR(VLOOKUP(Z49,'MIS FINANZAS'!$H$7:$L$103,5,0),"")</f>
        <v/>
      </c>
      <c r="AD49" s="101" t="str">
        <f t="shared" si="4"/>
        <v/>
      </c>
      <c r="AE49" s="101" t="str">
        <f t="shared" si="5"/>
        <v/>
      </c>
      <c r="AF49" s="1"/>
      <c r="AG49" s="1"/>
      <c r="AH49" s="1" t="str">
        <f>IFERROR(VLOOKUP(AF49,'MIS FINANZAS'!$H$7:$J$103,3,0),"")</f>
        <v/>
      </c>
      <c r="AI49" s="1" t="str">
        <f>IFERROR(VLOOKUP(AF49,'MIS FINANZAS'!$H$7:$L$103,5,0),"")</f>
        <v/>
      </c>
      <c r="AJ49" s="131" t="str">
        <f t="shared" si="6"/>
        <v/>
      </c>
      <c r="AK49" s="101">
        <v>33.0</v>
      </c>
      <c r="AL49" s="131" t="str">
        <f t="shared" si="7"/>
        <v/>
      </c>
      <c r="AM49" s="131" t="str">
        <f t="shared" si="8"/>
        <v/>
      </c>
      <c r="AN49" s="131" t="str">
        <f t="shared" si="9"/>
        <v/>
      </c>
      <c r="AO49" s="131" t="str">
        <f t="shared" si="10"/>
        <v/>
      </c>
      <c r="AP49" s="131" t="str">
        <f t="shared" si="11"/>
        <v/>
      </c>
      <c r="AQ49" s="131" t="str">
        <f t="shared" si="12"/>
        <v/>
      </c>
    </row>
    <row r="50" ht="15.75" customHeight="1">
      <c r="A50" s="1"/>
      <c r="B50" s="126" t="str">
        <f t="shared" ref="B50:D50" si="45">AL50</f>
        <v/>
      </c>
      <c r="C50" s="127" t="str">
        <f t="shared" si="45"/>
        <v/>
      </c>
      <c r="D50" s="128" t="str">
        <f t="shared" si="45"/>
        <v/>
      </c>
      <c r="E50" s="13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01" t="str">
        <f t="shared" si="14"/>
        <v/>
      </c>
      <c r="Z50" s="1"/>
      <c r="AA50" s="1"/>
      <c r="AB50" s="1" t="str">
        <f>IFERROR(VLOOKUP(Z50,'MIS FINANZAS'!$H$7:$J$103,3,0),"")</f>
        <v/>
      </c>
      <c r="AC50" s="1" t="str">
        <f>IFERROR(VLOOKUP(Z50,'MIS FINANZAS'!$H$7:$L$103,5,0),"")</f>
        <v/>
      </c>
      <c r="AD50" s="101" t="str">
        <f t="shared" si="4"/>
        <v/>
      </c>
      <c r="AE50" s="101" t="str">
        <f t="shared" si="5"/>
        <v/>
      </c>
      <c r="AF50" s="1"/>
      <c r="AG50" s="1"/>
      <c r="AH50" s="1" t="str">
        <f>IFERROR(VLOOKUP(AF50,'MIS FINANZAS'!$H$7:$J$103,3,0),"")</f>
        <v/>
      </c>
      <c r="AI50" s="1" t="str">
        <f>IFERROR(VLOOKUP(AF50,'MIS FINANZAS'!$H$7:$L$103,5,0),"")</f>
        <v/>
      </c>
      <c r="AJ50" s="131" t="str">
        <f t="shared" si="6"/>
        <v/>
      </c>
      <c r="AK50" s="101">
        <v>34.0</v>
      </c>
      <c r="AL50" s="131" t="str">
        <f t="shared" si="7"/>
        <v/>
      </c>
      <c r="AM50" s="131" t="str">
        <f t="shared" si="8"/>
        <v/>
      </c>
      <c r="AN50" s="131" t="str">
        <f t="shared" si="9"/>
        <v/>
      </c>
      <c r="AO50" s="131" t="str">
        <f t="shared" si="10"/>
        <v/>
      </c>
      <c r="AP50" s="131" t="str">
        <f t="shared" si="11"/>
        <v/>
      </c>
      <c r="AQ50" s="131" t="str">
        <f t="shared" si="12"/>
        <v/>
      </c>
    </row>
    <row r="51" ht="15.75" customHeight="1">
      <c r="A51" s="1"/>
      <c r="B51" s="126" t="str">
        <f t="shared" ref="B51:D51" si="46">AL51</f>
        <v/>
      </c>
      <c r="C51" s="127" t="str">
        <f t="shared" si="46"/>
        <v/>
      </c>
      <c r="D51" s="128" t="str">
        <f t="shared" si="46"/>
        <v/>
      </c>
      <c r="E51" s="13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01" t="str">
        <f t="shared" si="14"/>
        <v/>
      </c>
      <c r="Z51" s="1"/>
      <c r="AA51" s="1"/>
      <c r="AB51" s="1" t="str">
        <f>IFERROR(VLOOKUP(Z51,'MIS FINANZAS'!$H$7:$J$103,3,0),"")</f>
        <v/>
      </c>
      <c r="AC51" s="1" t="str">
        <f>IFERROR(VLOOKUP(Z51,'MIS FINANZAS'!$H$7:$L$103,5,0),"")</f>
        <v/>
      </c>
      <c r="AD51" s="101" t="str">
        <f t="shared" si="4"/>
        <v/>
      </c>
      <c r="AE51" s="101" t="str">
        <f t="shared" si="5"/>
        <v/>
      </c>
      <c r="AF51" s="1"/>
      <c r="AG51" s="1"/>
      <c r="AH51" s="1" t="str">
        <f>IFERROR(VLOOKUP(AF51,'MIS FINANZAS'!$H$7:$J$103,3,0),"")</f>
        <v/>
      </c>
      <c r="AI51" s="1" t="str">
        <f>IFERROR(VLOOKUP(AF51,'MIS FINANZAS'!$H$7:$L$103,5,0),"")</f>
        <v/>
      </c>
      <c r="AJ51" s="131" t="str">
        <f t="shared" si="6"/>
        <v/>
      </c>
      <c r="AK51" s="101">
        <v>35.0</v>
      </c>
      <c r="AL51" s="131" t="str">
        <f t="shared" si="7"/>
        <v/>
      </c>
      <c r="AM51" s="131" t="str">
        <f t="shared" si="8"/>
        <v/>
      </c>
      <c r="AN51" s="131" t="str">
        <f t="shared" si="9"/>
        <v/>
      </c>
      <c r="AO51" s="131" t="str">
        <f t="shared" si="10"/>
        <v/>
      </c>
      <c r="AP51" s="131" t="str">
        <f t="shared" si="11"/>
        <v/>
      </c>
      <c r="AQ51" s="131" t="str">
        <f t="shared" si="12"/>
        <v/>
      </c>
    </row>
    <row r="52" ht="15.75" customHeight="1">
      <c r="A52" s="1"/>
      <c r="B52" s="126" t="str">
        <f t="shared" ref="B52:D52" si="47">AL52</f>
        <v/>
      </c>
      <c r="C52" s="127" t="str">
        <f t="shared" si="47"/>
        <v/>
      </c>
      <c r="D52" s="128" t="str">
        <f t="shared" si="47"/>
        <v/>
      </c>
      <c r="E52" s="13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01" t="str">
        <f t="shared" si="14"/>
        <v/>
      </c>
      <c r="Z52" s="1"/>
      <c r="AA52" s="1"/>
      <c r="AB52" s="1" t="str">
        <f>IFERROR(VLOOKUP(Z52,'MIS FINANZAS'!$H$7:$J$103,3,0),"")</f>
        <v/>
      </c>
      <c r="AC52" s="1" t="str">
        <f>IFERROR(VLOOKUP(Z52,'MIS FINANZAS'!$H$7:$L$103,5,0),"")</f>
        <v/>
      </c>
      <c r="AD52" s="101" t="str">
        <f t="shared" si="4"/>
        <v/>
      </c>
      <c r="AE52" s="101" t="str">
        <f t="shared" si="5"/>
        <v/>
      </c>
      <c r="AF52" s="1"/>
      <c r="AG52" s="1"/>
      <c r="AH52" s="1" t="str">
        <f>IFERROR(VLOOKUP(AF52,'MIS FINANZAS'!$H$7:$J$103,3,0),"")</f>
        <v/>
      </c>
      <c r="AI52" s="1" t="str">
        <f>IFERROR(VLOOKUP(AF52,'MIS FINANZAS'!$H$7:$L$103,5,0),"")</f>
        <v/>
      </c>
      <c r="AJ52" s="131" t="str">
        <f t="shared" si="6"/>
        <v/>
      </c>
      <c r="AK52" s="101">
        <v>36.0</v>
      </c>
      <c r="AL52" s="131" t="str">
        <f t="shared" si="7"/>
        <v/>
      </c>
      <c r="AM52" s="131" t="str">
        <f t="shared" si="8"/>
        <v/>
      </c>
      <c r="AN52" s="131" t="str">
        <f t="shared" si="9"/>
        <v/>
      </c>
      <c r="AO52" s="131" t="str">
        <f t="shared" si="10"/>
        <v/>
      </c>
      <c r="AP52" s="131" t="str">
        <f t="shared" si="11"/>
        <v/>
      </c>
      <c r="AQ52" s="131" t="str">
        <f t="shared" si="12"/>
        <v/>
      </c>
    </row>
    <row r="53" ht="15.75" customHeight="1">
      <c r="A53" s="1"/>
      <c r="B53" s="126" t="str">
        <f t="shared" ref="B53:D53" si="48">AL53</f>
        <v/>
      </c>
      <c r="C53" s="127" t="str">
        <f t="shared" si="48"/>
        <v/>
      </c>
      <c r="D53" s="128" t="str">
        <f t="shared" si="48"/>
        <v/>
      </c>
      <c r="E53" s="13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01" t="str">
        <f t="shared" si="14"/>
        <v/>
      </c>
      <c r="Z53" s="1"/>
      <c r="AA53" s="1"/>
      <c r="AB53" s="1" t="str">
        <f>IFERROR(VLOOKUP(Z53,'MIS FINANZAS'!$H$7:$J$103,3,0),"")</f>
        <v/>
      </c>
      <c r="AC53" s="1" t="str">
        <f>IFERROR(VLOOKUP(Z53,'MIS FINANZAS'!$H$7:$L$103,5,0),"")</f>
        <v/>
      </c>
      <c r="AD53" s="101" t="str">
        <f t="shared" si="4"/>
        <v/>
      </c>
      <c r="AE53" s="101" t="str">
        <f t="shared" si="5"/>
        <v/>
      </c>
      <c r="AF53" s="1"/>
      <c r="AG53" s="1"/>
      <c r="AH53" s="1" t="str">
        <f>IFERROR(VLOOKUP(AF53,'MIS FINANZAS'!$H$7:$J$103,3,0),"")</f>
        <v/>
      </c>
      <c r="AI53" s="1" t="str">
        <f>IFERROR(VLOOKUP(AF53,'MIS FINANZAS'!$H$7:$L$103,5,0),"")</f>
        <v/>
      </c>
      <c r="AJ53" s="131" t="str">
        <f t="shared" si="6"/>
        <v/>
      </c>
      <c r="AK53" s="101">
        <v>37.0</v>
      </c>
      <c r="AL53" s="131" t="str">
        <f t="shared" si="7"/>
        <v/>
      </c>
      <c r="AM53" s="131" t="str">
        <f t="shared" si="8"/>
        <v/>
      </c>
      <c r="AN53" s="131" t="str">
        <f t="shared" si="9"/>
        <v/>
      </c>
      <c r="AO53" s="131" t="str">
        <f t="shared" si="10"/>
        <v/>
      </c>
      <c r="AP53" s="131" t="str">
        <f t="shared" si="11"/>
        <v/>
      </c>
      <c r="AQ53" s="131" t="str">
        <f t="shared" si="12"/>
        <v/>
      </c>
    </row>
    <row r="54" ht="15.75" customHeight="1">
      <c r="A54" s="1"/>
      <c r="B54" s="126" t="str">
        <f t="shared" ref="B54:D54" si="49">AL54</f>
        <v/>
      </c>
      <c r="C54" s="127" t="str">
        <f t="shared" si="49"/>
        <v/>
      </c>
      <c r="D54" s="128" t="str">
        <f t="shared" si="49"/>
        <v/>
      </c>
      <c r="E54" s="13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01" t="str">
        <f t="shared" si="14"/>
        <v/>
      </c>
      <c r="Z54" s="1"/>
      <c r="AA54" s="1"/>
      <c r="AB54" s="1" t="str">
        <f>IFERROR(VLOOKUP(Z54,'MIS FINANZAS'!$H$7:$J$103,3,0),"")</f>
        <v/>
      </c>
      <c r="AC54" s="1" t="str">
        <f>IFERROR(VLOOKUP(Z54,'MIS FINANZAS'!$H$7:$L$103,5,0),"")</f>
        <v/>
      </c>
      <c r="AD54" s="101" t="str">
        <f t="shared" si="4"/>
        <v/>
      </c>
      <c r="AE54" s="101" t="str">
        <f t="shared" si="5"/>
        <v/>
      </c>
      <c r="AF54" s="1"/>
      <c r="AG54" s="1"/>
      <c r="AH54" s="1" t="str">
        <f>IFERROR(VLOOKUP(AF54,'MIS FINANZAS'!$H$7:$J$103,3,0),"")</f>
        <v/>
      </c>
      <c r="AI54" s="1" t="str">
        <f>IFERROR(VLOOKUP(AF54,'MIS FINANZAS'!$H$7:$L$103,5,0),"")</f>
        <v/>
      </c>
      <c r="AJ54" s="131" t="str">
        <f t="shared" si="6"/>
        <v/>
      </c>
      <c r="AK54" s="101">
        <v>38.0</v>
      </c>
      <c r="AL54" s="131" t="str">
        <f t="shared" si="7"/>
        <v/>
      </c>
      <c r="AM54" s="131" t="str">
        <f t="shared" si="8"/>
        <v/>
      </c>
      <c r="AN54" s="131" t="str">
        <f t="shared" si="9"/>
        <v/>
      </c>
      <c r="AO54" s="131" t="str">
        <f t="shared" si="10"/>
        <v/>
      </c>
      <c r="AP54" s="131" t="str">
        <f t="shared" si="11"/>
        <v/>
      </c>
      <c r="AQ54" s="131" t="str">
        <f t="shared" si="12"/>
        <v/>
      </c>
    </row>
    <row r="55" ht="15.75" customHeight="1">
      <c r="A55" s="1"/>
      <c r="B55" s="126" t="str">
        <f t="shared" ref="B55:D55" si="50">AL55</f>
        <v/>
      </c>
      <c r="C55" s="127" t="str">
        <f t="shared" si="50"/>
        <v/>
      </c>
      <c r="D55" s="128" t="str">
        <f t="shared" si="50"/>
        <v/>
      </c>
      <c r="E55" s="13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01" t="str">
        <f t="shared" si="14"/>
        <v/>
      </c>
      <c r="Z55" s="1"/>
      <c r="AA55" s="1"/>
      <c r="AB55" s="1" t="str">
        <f>IFERROR(VLOOKUP(Z55,'MIS FINANZAS'!$H$7:$J$103,3,0),"")</f>
        <v/>
      </c>
      <c r="AC55" s="1" t="str">
        <f>IFERROR(VLOOKUP(Z55,'MIS FINANZAS'!$H$7:$L$103,5,0),"")</f>
        <v/>
      </c>
      <c r="AD55" s="101" t="str">
        <f t="shared" si="4"/>
        <v/>
      </c>
      <c r="AE55" s="101" t="str">
        <f t="shared" si="5"/>
        <v/>
      </c>
      <c r="AF55" s="1"/>
      <c r="AG55" s="1"/>
      <c r="AH55" s="1" t="str">
        <f>IFERROR(VLOOKUP(AF55,'MIS FINANZAS'!$H$7:$J$103,3,0),"")</f>
        <v/>
      </c>
      <c r="AI55" s="1" t="str">
        <f>IFERROR(VLOOKUP(AF55,'MIS FINANZAS'!$H$7:$L$103,5,0),"")</f>
        <v/>
      </c>
      <c r="AJ55" s="131" t="str">
        <f t="shared" si="6"/>
        <v/>
      </c>
      <c r="AK55" s="101">
        <v>39.0</v>
      </c>
      <c r="AL55" s="131" t="str">
        <f t="shared" si="7"/>
        <v/>
      </c>
      <c r="AM55" s="131" t="str">
        <f t="shared" si="8"/>
        <v/>
      </c>
      <c r="AN55" s="131" t="str">
        <f t="shared" si="9"/>
        <v/>
      </c>
      <c r="AO55" s="131" t="str">
        <f t="shared" si="10"/>
        <v/>
      </c>
      <c r="AP55" s="131" t="str">
        <f t="shared" si="11"/>
        <v/>
      </c>
      <c r="AQ55" s="131" t="str">
        <f t="shared" si="12"/>
        <v/>
      </c>
    </row>
    <row r="56" ht="15.75" customHeight="1">
      <c r="A56" s="1"/>
      <c r="B56" s="126" t="str">
        <f t="shared" ref="B56:D56" si="51">AL56</f>
        <v/>
      </c>
      <c r="C56" s="127" t="str">
        <f t="shared" si="51"/>
        <v/>
      </c>
      <c r="D56" s="128" t="str">
        <f t="shared" si="51"/>
        <v/>
      </c>
      <c r="E56" s="13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01" t="str">
        <f t="shared" si="14"/>
        <v/>
      </c>
      <c r="Z56" s="1"/>
      <c r="AA56" s="1"/>
      <c r="AB56" s="1" t="str">
        <f>IFERROR(VLOOKUP(Z56,'MIS FINANZAS'!$H$7:$J$103,3,0),"")</f>
        <v/>
      </c>
      <c r="AC56" s="1" t="str">
        <f>IFERROR(VLOOKUP(Z56,'MIS FINANZAS'!$H$7:$L$103,5,0),"")</f>
        <v/>
      </c>
      <c r="AD56" s="101" t="str">
        <f t="shared" si="4"/>
        <v/>
      </c>
      <c r="AE56" s="101" t="str">
        <f t="shared" si="5"/>
        <v/>
      </c>
      <c r="AF56" s="1"/>
      <c r="AG56" s="1"/>
      <c r="AH56" s="1" t="str">
        <f>IFERROR(VLOOKUP(AF56,'MIS FINANZAS'!$H$7:$J$103,3,0),"")</f>
        <v/>
      </c>
      <c r="AI56" s="1" t="str">
        <f>IFERROR(VLOOKUP(AF56,'MIS FINANZAS'!$H$7:$L$103,5,0),"")</f>
        <v/>
      </c>
      <c r="AJ56" s="131" t="str">
        <f t="shared" si="6"/>
        <v/>
      </c>
      <c r="AK56" s="101">
        <v>40.0</v>
      </c>
      <c r="AL56" s="131" t="str">
        <f t="shared" si="7"/>
        <v/>
      </c>
      <c r="AM56" s="131" t="str">
        <f t="shared" si="8"/>
        <v/>
      </c>
      <c r="AN56" s="131" t="str">
        <f t="shared" si="9"/>
        <v/>
      </c>
      <c r="AO56" s="131" t="str">
        <f t="shared" si="10"/>
        <v/>
      </c>
      <c r="AP56" s="131" t="str">
        <f t="shared" si="11"/>
        <v/>
      </c>
      <c r="AQ56" s="131" t="str">
        <f t="shared" si="12"/>
        <v/>
      </c>
    </row>
    <row r="57" ht="15.75" customHeight="1">
      <c r="A57" s="1"/>
      <c r="B57" s="126" t="str">
        <f t="shared" ref="B57:D57" si="52">AL57</f>
        <v/>
      </c>
      <c r="C57" s="127" t="str">
        <f t="shared" si="52"/>
        <v/>
      </c>
      <c r="D57" s="128" t="str">
        <f t="shared" si="52"/>
        <v/>
      </c>
      <c r="E57" s="13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01" t="str">
        <f t="shared" si="14"/>
        <v/>
      </c>
      <c r="Z57" s="1"/>
      <c r="AA57" s="1"/>
      <c r="AB57" s="1" t="str">
        <f>IFERROR(VLOOKUP(Z57,'MIS FINANZAS'!$H$7:$J$103,3,0),"")</f>
        <v/>
      </c>
      <c r="AC57" s="1" t="str">
        <f>IFERROR(VLOOKUP(Z57,'MIS FINANZAS'!$H$7:$L$103,5,0),"")</f>
        <v/>
      </c>
      <c r="AD57" s="101" t="str">
        <f t="shared" si="4"/>
        <v/>
      </c>
      <c r="AE57" s="101" t="str">
        <f t="shared" si="5"/>
        <v/>
      </c>
      <c r="AF57" s="1"/>
      <c r="AG57" s="1"/>
      <c r="AH57" s="1" t="str">
        <f>IFERROR(VLOOKUP(AF57,'MIS FINANZAS'!$H$7:$J$103,3,0),"")</f>
        <v/>
      </c>
      <c r="AI57" s="1" t="str">
        <f>IFERROR(VLOOKUP(AF57,'MIS FINANZAS'!$H$7:$L$103,5,0),"")</f>
        <v/>
      </c>
      <c r="AJ57" s="131" t="str">
        <f t="shared" si="6"/>
        <v/>
      </c>
      <c r="AK57" s="101">
        <v>41.0</v>
      </c>
      <c r="AL57" s="131" t="str">
        <f t="shared" si="7"/>
        <v/>
      </c>
      <c r="AM57" s="131" t="str">
        <f t="shared" si="8"/>
        <v/>
      </c>
      <c r="AN57" s="131" t="str">
        <f t="shared" si="9"/>
        <v/>
      </c>
      <c r="AO57" s="131" t="str">
        <f t="shared" si="10"/>
        <v/>
      </c>
      <c r="AP57" s="131" t="str">
        <f t="shared" si="11"/>
        <v/>
      </c>
      <c r="AQ57" s="131" t="str">
        <f t="shared" si="12"/>
        <v/>
      </c>
    </row>
    <row r="58" ht="15.75" customHeight="1">
      <c r="A58" s="1"/>
      <c r="B58" s="126" t="str">
        <f t="shared" ref="B58:D58" si="53">AL58</f>
        <v/>
      </c>
      <c r="C58" s="127" t="str">
        <f t="shared" si="53"/>
        <v/>
      </c>
      <c r="D58" s="128" t="str">
        <f t="shared" si="53"/>
        <v/>
      </c>
      <c r="E58" s="13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01" t="str">
        <f t="shared" si="14"/>
        <v/>
      </c>
      <c r="Z58" s="1"/>
      <c r="AA58" s="1"/>
      <c r="AB58" s="1" t="str">
        <f>IFERROR(VLOOKUP(Z58,'MIS FINANZAS'!$H$7:$J$103,3,0),"")</f>
        <v/>
      </c>
      <c r="AC58" s="1" t="str">
        <f>IFERROR(VLOOKUP(Z58,'MIS FINANZAS'!$H$7:$L$103,5,0),"")</f>
        <v/>
      </c>
      <c r="AD58" s="101" t="str">
        <f t="shared" si="4"/>
        <v/>
      </c>
      <c r="AE58" s="101" t="str">
        <f t="shared" si="5"/>
        <v/>
      </c>
      <c r="AF58" s="1"/>
      <c r="AG58" s="1"/>
      <c r="AH58" s="1" t="str">
        <f>IFERROR(VLOOKUP(AF58,'MIS FINANZAS'!$H$7:$J$103,3,0),"")</f>
        <v/>
      </c>
      <c r="AI58" s="1" t="str">
        <f>IFERROR(VLOOKUP(AF58,'MIS FINANZAS'!$H$7:$L$103,5,0),"")</f>
        <v/>
      </c>
      <c r="AJ58" s="131" t="str">
        <f t="shared" si="6"/>
        <v/>
      </c>
      <c r="AK58" s="101">
        <v>42.0</v>
      </c>
      <c r="AL58" s="131" t="str">
        <f t="shared" si="7"/>
        <v/>
      </c>
      <c r="AM58" s="131" t="str">
        <f t="shared" si="8"/>
        <v/>
      </c>
      <c r="AN58" s="131" t="str">
        <f t="shared" si="9"/>
        <v/>
      </c>
      <c r="AO58" s="131" t="str">
        <f t="shared" si="10"/>
        <v/>
      </c>
      <c r="AP58" s="131" t="str">
        <f t="shared" si="11"/>
        <v/>
      </c>
      <c r="AQ58" s="131" t="str">
        <f t="shared" si="12"/>
        <v/>
      </c>
    </row>
    <row r="59" ht="15.75" customHeight="1">
      <c r="A59" s="1"/>
      <c r="B59" s="126" t="str">
        <f t="shared" ref="B59:D59" si="54">AL59</f>
        <v/>
      </c>
      <c r="C59" s="127" t="str">
        <f t="shared" si="54"/>
        <v/>
      </c>
      <c r="D59" s="128" t="str">
        <f t="shared" si="54"/>
        <v/>
      </c>
      <c r="E59" s="13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01" t="str">
        <f t="shared" si="14"/>
        <v/>
      </c>
      <c r="Z59" s="1"/>
      <c r="AA59" s="1"/>
      <c r="AB59" s="1" t="str">
        <f>IFERROR(VLOOKUP(Z59,'MIS FINANZAS'!$H$7:$J$103,3,0),"")</f>
        <v/>
      </c>
      <c r="AC59" s="1" t="str">
        <f>IFERROR(VLOOKUP(Z59,'MIS FINANZAS'!$H$7:$L$103,5,0),"")</f>
        <v/>
      </c>
      <c r="AD59" s="101" t="str">
        <f t="shared" si="4"/>
        <v/>
      </c>
      <c r="AE59" s="101" t="str">
        <f t="shared" si="5"/>
        <v/>
      </c>
      <c r="AF59" s="1"/>
      <c r="AG59" s="1"/>
      <c r="AH59" s="1" t="str">
        <f>IFERROR(VLOOKUP(AF59,'MIS FINANZAS'!$H$7:$J$103,3,0),"")</f>
        <v/>
      </c>
      <c r="AI59" s="1" t="str">
        <f>IFERROR(VLOOKUP(AF59,'MIS FINANZAS'!$H$7:$L$103,5,0),"")</f>
        <v/>
      </c>
      <c r="AJ59" s="131" t="str">
        <f t="shared" si="6"/>
        <v/>
      </c>
      <c r="AK59" s="101">
        <v>43.0</v>
      </c>
      <c r="AL59" s="131" t="str">
        <f t="shared" si="7"/>
        <v/>
      </c>
      <c r="AM59" s="131" t="str">
        <f t="shared" si="8"/>
        <v/>
      </c>
      <c r="AN59" s="131" t="str">
        <f t="shared" si="9"/>
        <v/>
      </c>
      <c r="AO59" s="131" t="str">
        <f t="shared" si="10"/>
        <v/>
      </c>
      <c r="AP59" s="131" t="str">
        <f t="shared" si="11"/>
        <v/>
      </c>
      <c r="AQ59" s="131" t="str">
        <f t="shared" si="12"/>
        <v/>
      </c>
    </row>
    <row r="60" ht="15.75" customHeight="1">
      <c r="A60" s="1"/>
      <c r="B60" s="126" t="str">
        <f t="shared" ref="B60:D60" si="55">AL60</f>
        <v/>
      </c>
      <c r="C60" s="127" t="str">
        <f t="shared" si="55"/>
        <v/>
      </c>
      <c r="D60" s="128" t="str">
        <f t="shared" si="55"/>
        <v/>
      </c>
      <c r="E60" s="13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01" t="str">
        <f t="shared" si="14"/>
        <v/>
      </c>
      <c r="Z60" s="1"/>
      <c r="AA60" s="1"/>
      <c r="AB60" s="1" t="str">
        <f>IFERROR(VLOOKUP(Z60,'MIS FINANZAS'!$H$7:$J$103,3,0),"")</f>
        <v/>
      </c>
      <c r="AC60" s="1" t="str">
        <f>IFERROR(VLOOKUP(Z60,'MIS FINANZAS'!$H$7:$L$103,5,0),"")</f>
        <v/>
      </c>
      <c r="AD60" s="101" t="str">
        <f t="shared" si="4"/>
        <v/>
      </c>
      <c r="AE60" s="101" t="str">
        <f t="shared" si="5"/>
        <v/>
      </c>
      <c r="AF60" s="1"/>
      <c r="AG60" s="1"/>
      <c r="AH60" s="1" t="str">
        <f>IFERROR(VLOOKUP(AF60,'MIS FINANZAS'!$H$7:$J$103,3,0),"")</f>
        <v/>
      </c>
      <c r="AI60" s="1" t="str">
        <f>IFERROR(VLOOKUP(AF60,'MIS FINANZAS'!$H$7:$L$103,5,0),"")</f>
        <v/>
      </c>
      <c r="AJ60" s="131" t="str">
        <f t="shared" si="6"/>
        <v/>
      </c>
      <c r="AK60" s="101">
        <v>44.0</v>
      </c>
      <c r="AL60" s="131" t="str">
        <f t="shared" si="7"/>
        <v/>
      </c>
      <c r="AM60" s="131" t="str">
        <f t="shared" si="8"/>
        <v/>
      </c>
      <c r="AN60" s="131" t="str">
        <f t="shared" si="9"/>
        <v/>
      </c>
      <c r="AO60" s="131" t="str">
        <f t="shared" si="10"/>
        <v/>
      </c>
      <c r="AP60" s="131" t="str">
        <f t="shared" si="11"/>
        <v/>
      </c>
      <c r="AQ60" s="131" t="str">
        <f t="shared" si="12"/>
        <v/>
      </c>
    </row>
    <row r="61" ht="15.75" customHeight="1">
      <c r="A61" s="1"/>
      <c r="B61" s="126" t="str">
        <f t="shared" ref="B61:D61" si="56">AL61</f>
        <v/>
      </c>
      <c r="C61" s="127" t="str">
        <f t="shared" si="56"/>
        <v/>
      </c>
      <c r="D61" s="128" t="str">
        <f t="shared" si="56"/>
        <v/>
      </c>
      <c r="E61" s="13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01" t="str">
        <f t="shared" si="14"/>
        <v/>
      </c>
      <c r="Z61" s="1"/>
      <c r="AA61" s="1"/>
      <c r="AB61" s="1" t="str">
        <f>IFERROR(VLOOKUP(Z61,'MIS FINANZAS'!$H$7:$J$103,3,0),"")</f>
        <v/>
      </c>
      <c r="AC61" s="1" t="str">
        <f>IFERROR(VLOOKUP(Z61,'MIS FINANZAS'!$H$7:$L$103,5,0),"")</f>
        <v/>
      </c>
      <c r="AD61" s="101" t="str">
        <f t="shared" si="4"/>
        <v/>
      </c>
      <c r="AE61" s="101" t="str">
        <f t="shared" si="5"/>
        <v/>
      </c>
      <c r="AF61" s="1"/>
      <c r="AG61" s="1"/>
      <c r="AH61" s="1" t="str">
        <f>IFERROR(VLOOKUP(AF61,'MIS FINANZAS'!$H$7:$J$103,3,0),"")</f>
        <v/>
      </c>
      <c r="AI61" s="1" t="str">
        <f>IFERROR(VLOOKUP(AF61,'MIS FINANZAS'!$H$7:$L$103,5,0),"")</f>
        <v/>
      </c>
      <c r="AJ61" s="131" t="str">
        <f t="shared" si="6"/>
        <v/>
      </c>
      <c r="AK61" s="101">
        <v>45.0</v>
      </c>
      <c r="AL61" s="131" t="str">
        <f t="shared" si="7"/>
        <v/>
      </c>
      <c r="AM61" s="131" t="str">
        <f t="shared" si="8"/>
        <v/>
      </c>
      <c r="AN61" s="131" t="str">
        <f t="shared" si="9"/>
        <v/>
      </c>
      <c r="AO61" s="131" t="str">
        <f t="shared" si="10"/>
        <v/>
      </c>
      <c r="AP61" s="131" t="str">
        <f t="shared" si="11"/>
        <v/>
      </c>
      <c r="AQ61" s="131" t="str">
        <f t="shared" si="12"/>
        <v/>
      </c>
    </row>
    <row r="62" ht="15.75" customHeight="1">
      <c r="A62" s="1"/>
      <c r="B62" s="126" t="str">
        <f t="shared" ref="B62:D62" si="57">AL62</f>
        <v/>
      </c>
      <c r="C62" s="127" t="str">
        <f t="shared" si="57"/>
        <v/>
      </c>
      <c r="D62" s="128" t="str">
        <f t="shared" si="57"/>
        <v/>
      </c>
      <c r="E62" s="13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01" t="str">
        <f t="shared" si="14"/>
        <v/>
      </c>
      <c r="Z62" s="1"/>
      <c r="AA62" s="1"/>
      <c r="AB62" s="1" t="str">
        <f>IFERROR(VLOOKUP(Z62,'MIS FINANZAS'!$H$7:$J$103,3,0),"")</f>
        <v/>
      </c>
      <c r="AC62" s="1" t="str">
        <f>IFERROR(VLOOKUP(Z62,'MIS FINANZAS'!$H$7:$L$103,5,0),"")</f>
        <v/>
      </c>
      <c r="AD62" s="101" t="str">
        <f t="shared" si="4"/>
        <v/>
      </c>
      <c r="AE62" s="101" t="str">
        <f t="shared" si="5"/>
        <v/>
      </c>
      <c r="AF62" s="1"/>
      <c r="AG62" s="1"/>
      <c r="AH62" s="1" t="str">
        <f>IFERROR(VLOOKUP(AF62,'MIS FINANZAS'!$H$7:$J$103,3,0),"")</f>
        <v/>
      </c>
      <c r="AI62" s="1" t="str">
        <f>IFERROR(VLOOKUP(AF62,'MIS FINANZAS'!$H$7:$L$103,5,0),"")</f>
        <v/>
      </c>
      <c r="AJ62" s="131" t="str">
        <f t="shared" si="6"/>
        <v/>
      </c>
      <c r="AK62" s="101">
        <v>46.0</v>
      </c>
      <c r="AL62" s="131" t="str">
        <f t="shared" si="7"/>
        <v/>
      </c>
      <c r="AM62" s="131" t="str">
        <f t="shared" si="8"/>
        <v/>
      </c>
      <c r="AN62" s="131" t="str">
        <f t="shared" si="9"/>
        <v/>
      </c>
      <c r="AO62" s="131" t="str">
        <f t="shared" si="10"/>
        <v/>
      </c>
      <c r="AP62" s="131" t="str">
        <f t="shared" si="11"/>
        <v/>
      </c>
      <c r="AQ62" s="131" t="str">
        <f t="shared" si="12"/>
        <v/>
      </c>
    </row>
    <row r="63" ht="15.75" customHeight="1">
      <c r="A63" s="1"/>
      <c r="B63" s="126" t="str">
        <f t="shared" ref="B63:D63" si="58">AL63</f>
        <v/>
      </c>
      <c r="C63" s="127" t="str">
        <f t="shared" si="58"/>
        <v/>
      </c>
      <c r="D63" s="128" t="str">
        <f t="shared" si="58"/>
        <v/>
      </c>
      <c r="E63" s="13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01" t="str">
        <f t="shared" si="14"/>
        <v/>
      </c>
      <c r="Z63" s="1"/>
      <c r="AA63" s="1"/>
      <c r="AB63" s="1" t="str">
        <f>IFERROR(VLOOKUP(Z63,'MIS FINANZAS'!$H$7:$J$103,3,0),"")</f>
        <v/>
      </c>
      <c r="AC63" s="1" t="str">
        <f>IFERROR(VLOOKUP(Z63,'MIS FINANZAS'!$H$7:$L$103,5,0),"")</f>
        <v/>
      </c>
      <c r="AD63" s="101" t="str">
        <f t="shared" si="4"/>
        <v/>
      </c>
      <c r="AE63" s="101" t="str">
        <f t="shared" si="5"/>
        <v/>
      </c>
      <c r="AF63" s="1"/>
      <c r="AG63" s="1"/>
      <c r="AH63" s="1" t="str">
        <f>IFERROR(VLOOKUP(AF63,'MIS FINANZAS'!$H$7:$J$103,3,0),"")</f>
        <v/>
      </c>
      <c r="AI63" s="1" t="str">
        <f>IFERROR(VLOOKUP(AF63,'MIS FINANZAS'!$H$7:$L$103,5,0),"")</f>
        <v/>
      </c>
      <c r="AJ63" s="131" t="str">
        <f t="shared" si="6"/>
        <v/>
      </c>
      <c r="AK63" s="101">
        <v>47.0</v>
      </c>
      <c r="AL63" s="131" t="str">
        <f t="shared" si="7"/>
        <v/>
      </c>
      <c r="AM63" s="131" t="str">
        <f t="shared" si="8"/>
        <v/>
      </c>
      <c r="AN63" s="131" t="str">
        <f t="shared" si="9"/>
        <v/>
      </c>
      <c r="AO63" s="131" t="str">
        <f t="shared" si="10"/>
        <v/>
      </c>
      <c r="AP63" s="131" t="str">
        <f t="shared" si="11"/>
        <v/>
      </c>
      <c r="AQ63" s="131" t="str">
        <f t="shared" si="12"/>
        <v/>
      </c>
    </row>
    <row r="64" ht="15.75" customHeight="1">
      <c r="A64" s="1"/>
      <c r="B64" s="126" t="str">
        <f t="shared" ref="B64:D64" si="59">AL64</f>
        <v/>
      </c>
      <c r="C64" s="127" t="str">
        <f t="shared" si="59"/>
        <v/>
      </c>
      <c r="D64" s="128" t="str">
        <f t="shared" si="59"/>
        <v/>
      </c>
      <c r="E64" s="13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01" t="str">
        <f t="shared" si="14"/>
        <v/>
      </c>
      <c r="Z64" s="1"/>
      <c r="AA64" s="1"/>
      <c r="AB64" s="1" t="str">
        <f>IFERROR(VLOOKUP(Z64,'MIS FINANZAS'!$H$7:$J$103,3,0),"")</f>
        <v/>
      </c>
      <c r="AC64" s="1" t="str">
        <f>IFERROR(VLOOKUP(Z64,'MIS FINANZAS'!$H$7:$L$103,5,0),"")</f>
        <v/>
      </c>
      <c r="AD64" s="101" t="str">
        <f t="shared" si="4"/>
        <v/>
      </c>
      <c r="AE64" s="101" t="str">
        <f t="shared" si="5"/>
        <v/>
      </c>
      <c r="AF64" s="1"/>
      <c r="AG64" s="1"/>
      <c r="AH64" s="1" t="str">
        <f>IFERROR(VLOOKUP(AF64,'MIS FINANZAS'!$H$7:$J$103,3,0),"")</f>
        <v/>
      </c>
      <c r="AI64" s="1" t="str">
        <f>IFERROR(VLOOKUP(AF64,'MIS FINANZAS'!$H$7:$L$103,5,0),"")</f>
        <v/>
      </c>
      <c r="AJ64" s="131" t="str">
        <f t="shared" si="6"/>
        <v/>
      </c>
      <c r="AK64" s="101">
        <v>48.0</v>
      </c>
      <c r="AL64" s="131" t="str">
        <f t="shared" si="7"/>
        <v/>
      </c>
      <c r="AM64" s="131" t="str">
        <f t="shared" si="8"/>
        <v/>
      </c>
      <c r="AN64" s="131" t="str">
        <f t="shared" si="9"/>
        <v/>
      </c>
      <c r="AO64" s="131" t="str">
        <f t="shared" si="10"/>
        <v/>
      </c>
      <c r="AP64" s="131" t="str">
        <f t="shared" si="11"/>
        <v/>
      </c>
      <c r="AQ64" s="131" t="str">
        <f t="shared" si="12"/>
        <v/>
      </c>
    </row>
    <row r="65" ht="15.75" customHeight="1">
      <c r="A65" s="1"/>
      <c r="B65" s="126" t="str">
        <f t="shared" ref="B65:D65" si="60">AL65</f>
        <v/>
      </c>
      <c r="C65" s="127" t="str">
        <f t="shared" si="60"/>
        <v/>
      </c>
      <c r="D65" s="128" t="str">
        <f t="shared" si="60"/>
        <v/>
      </c>
      <c r="E65" s="13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01" t="str">
        <f t="shared" si="14"/>
        <v/>
      </c>
      <c r="Z65" s="1"/>
      <c r="AA65" s="1"/>
      <c r="AB65" s="1" t="str">
        <f>IFERROR(VLOOKUP(Z65,'MIS FINANZAS'!$H$7:$J$103,3,0),"")</f>
        <v/>
      </c>
      <c r="AC65" s="1" t="str">
        <f>IFERROR(VLOOKUP(Z65,'MIS FINANZAS'!$H$7:$L$103,5,0),"")</f>
        <v/>
      </c>
      <c r="AD65" s="101" t="str">
        <f t="shared" si="4"/>
        <v/>
      </c>
      <c r="AE65" s="101" t="str">
        <f t="shared" si="5"/>
        <v/>
      </c>
      <c r="AF65" s="1"/>
      <c r="AG65" s="1"/>
      <c r="AH65" s="1" t="str">
        <f>IFERROR(VLOOKUP(AF65,'MIS FINANZAS'!$H$7:$J$103,3,0),"")</f>
        <v/>
      </c>
      <c r="AI65" s="1" t="str">
        <f>IFERROR(VLOOKUP(AF65,'MIS FINANZAS'!$H$7:$L$103,5,0),"")</f>
        <v/>
      </c>
      <c r="AJ65" s="131" t="str">
        <f t="shared" si="6"/>
        <v/>
      </c>
      <c r="AK65" s="101">
        <v>49.0</v>
      </c>
      <c r="AL65" s="131" t="str">
        <f t="shared" si="7"/>
        <v/>
      </c>
      <c r="AM65" s="131" t="str">
        <f t="shared" si="8"/>
        <v/>
      </c>
      <c r="AN65" s="131" t="str">
        <f t="shared" si="9"/>
        <v/>
      </c>
      <c r="AO65" s="131" t="str">
        <f t="shared" si="10"/>
        <v/>
      </c>
      <c r="AP65" s="131" t="str">
        <f t="shared" si="11"/>
        <v/>
      </c>
      <c r="AQ65" s="131" t="str">
        <f t="shared" si="12"/>
        <v/>
      </c>
    </row>
    <row r="66" ht="15.75" customHeight="1">
      <c r="A66" s="1"/>
      <c r="B66" s="126" t="str">
        <f t="shared" ref="B66:D66" si="61">AL66</f>
        <v/>
      </c>
      <c r="C66" s="127" t="str">
        <f t="shared" si="61"/>
        <v/>
      </c>
      <c r="D66" s="128" t="str">
        <f t="shared" si="61"/>
        <v/>
      </c>
      <c r="E66" s="13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01" t="str">
        <f t="shared" si="14"/>
        <v/>
      </c>
      <c r="Z66" s="1"/>
      <c r="AA66" s="1"/>
      <c r="AB66" s="1" t="str">
        <f>IFERROR(VLOOKUP(Z66,'MIS FINANZAS'!$H$7:$J$103,3,0),"")</f>
        <v/>
      </c>
      <c r="AC66" s="1" t="str">
        <f>IFERROR(VLOOKUP(Z66,'MIS FINANZAS'!$H$7:$L$103,5,0),"")</f>
        <v/>
      </c>
      <c r="AD66" s="101" t="str">
        <f t="shared" si="4"/>
        <v/>
      </c>
      <c r="AE66" s="101" t="str">
        <f t="shared" si="5"/>
        <v/>
      </c>
      <c r="AF66" s="1"/>
      <c r="AG66" s="1"/>
      <c r="AH66" s="1" t="str">
        <f>IFERROR(VLOOKUP(AF66,'MIS FINANZAS'!$H$7:$J$103,3,0),"")</f>
        <v/>
      </c>
      <c r="AI66" s="1" t="str">
        <f>IFERROR(VLOOKUP(AF66,'MIS FINANZAS'!$H$7:$L$103,5,0),"")</f>
        <v/>
      </c>
      <c r="AJ66" s="131" t="str">
        <f t="shared" si="6"/>
        <v/>
      </c>
      <c r="AK66" s="101">
        <v>50.0</v>
      </c>
      <c r="AL66" s="131" t="str">
        <f t="shared" si="7"/>
        <v/>
      </c>
      <c r="AM66" s="131" t="str">
        <f t="shared" si="8"/>
        <v/>
      </c>
      <c r="AN66" s="131" t="str">
        <f t="shared" si="9"/>
        <v/>
      </c>
      <c r="AO66" s="131" t="str">
        <f t="shared" si="10"/>
        <v/>
      </c>
      <c r="AP66" s="131" t="str">
        <f t="shared" si="11"/>
        <v/>
      </c>
      <c r="AQ66" s="131" t="str">
        <f t="shared" si="12"/>
        <v/>
      </c>
    </row>
    <row r="67" ht="15.75" customHeight="1">
      <c r="A67" s="1"/>
      <c r="B67" s="126" t="str">
        <f t="shared" ref="B67:D67" si="62">AL67</f>
        <v/>
      </c>
      <c r="C67" s="127" t="str">
        <f t="shared" si="62"/>
        <v/>
      </c>
      <c r="D67" s="128" t="str">
        <f t="shared" si="62"/>
        <v/>
      </c>
      <c r="E67" s="13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01" t="str">
        <f t="shared" si="14"/>
        <v/>
      </c>
      <c r="Z67" s="1"/>
      <c r="AA67" s="1"/>
      <c r="AB67" s="1" t="str">
        <f>IFERROR(VLOOKUP(Z67,'MIS FINANZAS'!$H$7:$J$103,3,0),"")</f>
        <v/>
      </c>
      <c r="AC67" s="1" t="str">
        <f>IFERROR(VLOOKUP(Z67,'MIS FINANZAS'!$H$7:$L$103,5,0),"")</f>
        <v/>
      </c>
      <c r="AD67" s="101" t="str">
        <f t="shared" si="4"/>
        <v/>
      </c>
      <c r="AE67" s="101" t="str">
        <f t="shared" si="5"/>
        <v/>
      </c>
      <c r="AF67" s="1"/>
      <c r="AG67" s="1"/>
      <c r="AH67" s="1" t="str">
        <f>IFERROR(VLOOKUP(AF67,'MIS FINANZAS'!$H$7:$J$103,3,0),"")</f>
        <v/>
      </c>
      <c r="AI67" s="1" t="str">
        <f>IFERROR(VLOOKUP(AF67,'MIS FINANZAS'!$H$7:$L$103,5,0),"")</f>
        <v/>
      </c>
      <c r="AJ67" s="131" t="str">
        <f t="shared" si="6"/>
        <v/>
      </c>
      <c r="AK67" s="101">
        <v>51.0</v>
      </c>
      <c r="AL67" s="131" t="str">
        <f t="shared" si="7"/>
        <v/>
      </c>
      <c r="AM67" s="131" t="str">
        <f t="shared" si="8"/>
        <v/>
      </c>
      <c r="AN67" s="131" t="str">
        <f t="shared" si="9"/>
        <v/>
      </c>
      <c r="AO67" s="131" t="str">
        <f t="shared" si="10"/>
        <v/>
      </c>
      <c r="AP67" s="131" t="str">
        <f t="shared" si="11"/>
        <v/>
      </c>
      <c r="AQ67" s="131" t="str">
        <f t="shared" si="12"/>
        <v/>
      </c>
    </row>
    <row r="68" ht="15.75" customHeight="1">
      <c r="A68" s="1"/>
      <c r="B68" s="126" t="str">
        <f t="shared" ref="B68:D68" si="63">AL68</f>
        <v/>
      </c>
      <c r="C68" s="127" t="str">
        <f t="shared" si="63"/>
        <v/>
      </c>
      <c r="D68" s="128" t="str">
        <f t="shared" si="63"/>
        <v/>
      </c>
      <c r="E68" s="13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01" t="str">
        <f t="shared" si="14"/>
        <v/>
      </c>
      <c r="Z68" s="1"/>
      <c r="AA68" s="1"/>
      <c r="AB68" s="1" t="str">
        <f>IFERROR(VLOOKUP(Z68,'MIS FINANZAS'!$H$7:$J$103,3,0),"")</f>
        <v/>
      </c>
      <c r="AC68" s="1" t="str">
        <f>IFERROR(VLOOKUP(Z68,'MIS FINANZAS'!$H$7:$L$103,5,0),"")</f>
        <v/>
      </c>
      <c r="AD68" s="101" t="str">
        <f t="shared" si="4"/>
        <v/>
      </c>
      <c r="AE68" s="101" t="str">
        <f t="shared" si="5"/>
        <v/>
      </c>
      <c r="AF68" s="1"/>
      <c r="AG68" s="1"/>
      <c r="AH68" s="1" t="str">
        <f>IFERROR(VLOOKUP(AF68,'MIS FINANZAS'!$H$7:$J$103,3,0),"")</f>
        <v/>
      </c>
      <c r="AI68" s="1" t="str">
        <f>IFERROR(VLOOKUP(AF68,'MIS FINANZAS'!$H$7:$L$103,5,0),"")</f>
        <v/>
      </c>
      <c r="AJ68" s="131" t="str">
        <f t="shared" si="6"/>
        <v/>
      </c>
      <c r="AK68" s="101">
        <v>52.0</v>
      </c>
      <c r="AL68" s="131" t="str">
        <f t="shared" si="7"/>
        <v/>
      </c>
      <c r="AM68" s="131" t="str">
        <f t="shared" si="8"/>
        <v/>
      </c>
      <c r="AN68" s="131" t="str">
        <f t="shared" si="9"/>
        <v/>
      </c>
      <c r="AO68" s="131" t="str">
        <f t="shared" si="10"/>
        <v/>
      </c>
      <c r="AP68" s="131" t="str">
        <f t="shared" si="11"/>
        <v/>
      </c>
      <c r="AQ68" s="131" t="str">
        <f t="shared" si="12"/>
        <v/>
      </c>
    </row>
    <row r="69" ht="15.75" customHeight="1">
      <c r="A69" s="1"/>
      <c r="B69" s="126" t="str">
        <f t="shared" ref="B69:D69" si="64">AL69</f>
        <v/>
      </c>
      <c r="C69" s="127" t="str">
        <f t="shared" si="64"/>
        <v/>
      </c>
      <c r="D69" s="128" t="str">
        <f t="shared" si="64"/>
        <v/>
      </c>
      <c r="E69" s="13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01" t="str">
        <f t="shared" si="14"/>
        <v/>
      </c>
      <c r="Z69" s="1"/>
      <c r="AA69" s="1"/>
      <c r="AB69" s="1" t="str">
        <f>IFERROR(VLOOKUP(Z69,'MIS FINANZAS'!$H$7:$J$103,3,0),"")</f>
        <v/>
      </c>
      <c r="AC69" s="1" t="str">
        <f>IFERROR(VLOOKUP(Z69,'MIS FINANZAS'!$H$7:$L$103,5,0),"")</f>
        <v/>
      </c>
      <c r="AD69" s="101" t="str">
        <f t="shared" si="4"/>
        <v/>
      </c>
      <c r="AE69" s="101" t="str">
        <f t="shared" si="5"/>
        <v/>
      </c>
      <c r="AF69" s="1"/>
      <c r="AG69" s="1"/>
      <c r="AH69" s="1" t="str">
        <f>IFERROR(VLOOKUP(AF69,'MIS FINANZAS'!$H$7:$J$103,3,0),"")</f>
        <v/>
      </c>
      <c r="AI69" s="1" t="str">
        <f>IFERROR(VLOOKUP(AF69,'MIS FINANZAS'!$H$7:$L$103,5,0),"")</f>
        <v/>
      </c>
      <c r="AJ69" s="131" t="str">
        <f t="shared" si="6"/>
        <v/>
      </c>
      <c r="AK69" s="101">
        <v>53.0</v>
      </c>
      <c r="AL69" s="131" t="str">
        <f t="shared" si="7"/>
        <v/>
      </c>
      <c r="AM69" s="131" t="str">
        <f t="shared" si="8"/>
        <v/>
      </c>
      <c r="AN69" s="131" t="str">
        <f t="shared" si="9"/>
        <v/>
      </c>
      <c r="AO69" s="131" t="str">
        <f t="shared" si="10"/>
        <v/>
      </c>
      <c r="AP69" s="131" t="str">
        <f t="shared" si="11"/>
        <v/>
      </c>
      <c r="AQ69" s="131" t="str">
        <f t="shared" si="12"/>
        <v/>
      </c>
    </row>
    <row r="70" ht="15.75" customHeight="1">
      <c r="A70" s="1"/>
      <c r="B70" s="126" t="str">
        <f t="shared" ref="B70:D70" si="65">AL70</f>
        <v/>
      </c>
      <c r="C70" s="127" t="str">
        <f t="shared" si="65"/>
        <v/>
      </c>
      <c r="D70" s="128" t="str">
        <f t="shared" si="65"/>
        <v/>
      </c>
      <c r="E70" s="13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01" t="str">
        <f t="shared" si="14"/>
        <v/>
      </c>
      <c r="Z70" s="1"/>
      <c r="AA70" s="1"/>
      <c r="AB70" s="1" t="str">
        <f>IFERROR(VLOOKUP(Z70,'MIS FINANZAS'!$H$7:$J$103,3,0),"")</f>
        <v/>
      </c>
      <c r="AC70" s="1" t="str">
        <f>IFERROR(VLOOKUP(Z70,'MIS FINANZAS'!$H$7:$L$103,5,0),"")</f>
        <v/>
      </c>
      <c r="AD70" s="101" t="str">
        <f t="shared" si="4"/>
        <v/>
      </c>
      <c r="AE70" s="101" t="str">
        <f t="shared" si="5"/>
        <v/>
      </c>
      <c r="AF70" s="1"/>
      <c r="AG70" s="1"/>
      <c r="AH70" s="1" t="str">
        <f>IFERROR(VLOOKUP(AF70,'MIS FINANZAS'!$H$7:$J$103,3,0),"")</f>
        <v/>
      </c>
      <c r="AI70" s="1" t="str">
        <f>IFERROR(VLOOKUP(AF70,'MIS FINANZAS'!$H$7:$L$103,5,0),"")</f>
        <v/>
      </c>
      <c r="AJ70" s="131" t="str">
        <f t="shared" si="6"/>
        <v/>
      </c>
      <c r="AK70" s="101">
        <v>54.0</v>
      </c>
      <c r="AL70" s="131" t="str">
        <f t="shared" si="7"/>
        <v/>
      </c>
      <c r="AM70" s="131" t="str">
        <f t="shared" si="8"/>
        <v/>
      </c>
      <c r="AN70" s="131" t="str">
        <f t="shared" si="9"/>
        <v/>
      </c>
      <c r="AO70" s="131" t="str">
        <f t="shared" si="10"/>
        <v/>
      </c>
      <c r="AP70" s="131" t="str">
        <f t="shared" si="11"/>
        <v/>
      </c>
      <c r="AQ70" s="131" t="str">
        <f t="shared" si="12"/>
        <v/>
      </c>
    </row>
    <row r="71" ht="15.75" customHeight="1">
      <c r="A71" s="1"/>
      <c r="B71" s="126" t="str">
        <f t="shared" ref="B71:D71" si="66">AL71</f>
        <v/>
      </c>
      <c r="C71" s="127" t="str">
        <f t="shared" si="66"/>
        <v/>
      </c>
      <c r="D71" s="128" t="str">
        <f t="shared" si="66"/>
        <v/>
      </c>
      <c r="E71" s="13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01" t="str">
        <f t="shared" si="14"/>
        <v/>
      </c>
      <c r="Z71" s="1"/>
      <c r="AA71" s="1"/>
      <c r="AB71" s="1" t="str">
        <f>IFERROR(VLOOKUP(Z71,'MIS FINANZAS'!$H$7:$J$103,3,0),"")</f>
        <v/>
      </c>
      <c r="AC71" s="1" t="str">
        <f>IFERROR(VLOOKUP(Z71,'MIS FINANZAS'!$H$7:$L$103,5,0),"")</f>
        <v/>
      </c>
      <c r="AD71" s="101" t="str">
        <f t="shared" si="4"/>
        <v/>
      </c>
      <c r="AE71" s="101" t="str">
        <f t="shared" si="5"/>
        <v/>
      </c>
      <c r="AF71" s="1"/>
      <c r="AG71" s="1"/>
      <c r="AH71" s="1" t="str">
        <f>IFERROR(VLOOKUP(AF71,'MIS FINANZAS'!$H$7:$J$103,3,0),"")</f>
        <v/>
      </c>
      <c r="AI71" s="1" t="str">
        <f>IFERROR(VLOOKUP(AF71,'MIS FINANZAS'!$H$7:$L$103,5,0),"")</f>
        <v/>
      </c>
      <c r="AJ71" s="131" t="str">
        <f t="shared" si="6"/>
        <v/>
      </c>
      <c r="AK71" s="101">
        <v>55.0</v>
      </c>
      <c r="AL71" s="131" t="str">
        <f t="shared" si="7"/>
        <v/>
      </c>
      <c r="AM71" s="131" t="str">
        <f t="shared" si="8"/>
        <v/>
      </c>
      <c r="AN71" s="131" t="str">
        <f t="shared" si="9"/>
        <v/>
      </c>
      <c r="AO71" s="131" t="str">
        <f t="shared" si="10"/>
        <v/>
      </c>
      <c r="AP71" s="131" t="str">
        <f t="shared" si="11"/>
        <v/>
      </c>
      <c r="AQ71" s="131" t="str">
        <f t="shared" si="12"/>
        <v/>
      </c>
    </row>
    <row r="72" ht="15.75" customHeight="1">
      <c r="A72" s="1"/>
      <c r="B72" s="126" t="str">
        <f t="shared" ref="B72:D72" si="67">AL72</f>
        <v/>
      </c>
      <c r="C72" s="127" t="str">
        <f t="shared" si="67"/>
        <v/>
      </c>
      <c r="D72" s="128" t="str">
        <f t="shared" si="67"/>
        <v/>
      </c>
      <c r="E72" s="13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01" t="str">
        <f t="shared" si="14"/>
        <v/>
      </c>
      <c r="Z72" s="1"/>
      <c r="AA72" s="1"/>
      <c r="AB72" s="1" t="str">
        <f>IFERROR(VLOOKUP(Z72,'MIS FINANZAS'!$H$7:$J$103,3,0),"")</f>
        <v/>
      </c>
      <c r="AC72" s="1" t="str">
        <f>IFERROR(VLOOKUP(Z72,'MIS FINANZAS'!$H$7:$L$103,5,0),"")</f>
        <v/>
      </c>
      <c r="AD72" s="101" t="str">
        <f t="shared" si="4"/>
        <v/>
      </c>
      <c r="AE72" s="101" t="str">
        <f t="shared" si="5"/>
        <v/>
      </c>
      <c r="AF72" s="1"/>
      <c r="AG72" s="1"/>
      <c r="AH72" s="1" t="str">
        <f>IFERROR(VLOOKUP(AF72,'MIS FINANZAS'!$H$7:$J$103,3,0),"")</f>
        <v/>
      </c>
      <c r="AI72" s="1" t="str">
        <f>IFERROR(VLOOKUP(AF72,'MIS FINANZAS'!$H$7:$L$103,5,0),"")</f>
        <v/>
      </c>
      <c r="AJ72" s="131" t="str">
        <f t="shared" si="6"/>
        <v/>
      </c>
      <c r="AK72" s="101">
        <v>56.0</v>
      </c>
      <c r="AL72" s="131" t="str">
        <f t="shared" si="7"/>
        <v/>
      </c>
      <c r="AM72" s="131" t="str">
        <f t="shared" si="8"/>
        <v/>
      </c>
      <c r="AN72" s="131" t="str">
        <f t="shared" si="9"/>
        <v/>
      </c>
      <c r="AO72" s="131" t="str">
        <f t="shared" si="10"/>
        <v/>
      </c>
      <c r="AP72" s="131" t="str">
        <f t="shared" si="11"/>
        <v/>
      </c>
      <c r="AQ72" s="131" t="str">
        <f t="shared" si="12"/>
        <v/>
      </c>
    </row>
    <row r="73" ht="15.75" customHeight="1">
      <c r="A73" s="1"/>
      <c r="B73" s="126" t="str">
        <f t="shared" ref="B73:D73" si="68">AL73</f>
        <v/>
      </c>
      <c r="C73" s="127" t="str">
        <f t="shared" si="68"/>
        <v/>
      </c>
      <c r="D73" s="128" t="str">
        <f t="shared" si="68"/>
        <v/>
      </c>
      <c r="E73" s="13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01" t="str">
        <f t="shared" si="14"/>
        <v/>
      </c>
      <c r="Z73" s="1"/>
      <c r="AA73" s="1"/>
      <c r="AB73" s="1" t="str">
        <f>IFERROR(VLOOKUP(Z73,'MIS FINANZAS'!$H$7:$J$103,3,0),"")</f>
        <v/>
      </c>
      <c r="AC73" s="1" t="str">
        <f>IFERROR(VLOOKUP(Z73,'MIS FINANZAS'!$H$7:$L$103,5,0),"")</f>
        <v/>
      </c>
      <c r="AD73" s="101" t="str">
        <f t="shared" si="4"/>
        <v/>
      </c>
      <c r="AE73" s="101" t="str">
        <f t="shared" si="5"/>
        <v/>
      </c>
      <c r="AF73" s="1"/>
      <c r="AG73" s="1"/>
      <c r="AH73" s="1" t="str">
        <f>IFERROR(VLOOKUP(AF73,'MIS FINANZAS'!$H$7:$J$103,3,0),"")</f>
        <v/>
      </c>
      <c r="AI73" s="1" t="str">
        <f>IFERROR(VLOOKUP(AF73,'MIS FINANZAS'!$H$7:$L$103,5,0),"")</f>
        <v/>
      </c>
      <c r="AJ73" s="131" t="str">
        <f t="shared" si="6"/>
        <v/>
      </c>
      <c r="AK73" s="101">
        <v>57.0</v>
      </c>
      <c r="AL73" s="131" t="str">
        <f t="shared" si="7"/>
        <v/>
      </c>
      <c r="AM73" s="131" t="str">
        <f t="shared" si="8"/>
        <v/>
      </c>
      <c r="AN73" s="131" t="str">
        <f t="shared" si="9"/>
        <v/>
      </c>
      <c r="AO73" s="131" t="str">
        <f t="shared" si="10"/>
        <v/>
      </c>
      <c r="AP73" s="131" t="str">
        <f t="shared" si="11"/>
        <v/>
      </c>
      <c r="AQ73" s="131" t="str">
        <f t="shared" si="12"/>
        <v/>
      </c>
    </row>
    <row r="74" ht="15.75" customHeight="1">
      <c r="A74" s="1"/>
      <c r="B74" s="126" t="str">
        <f t="shared" ref="B74:D74" si="69">AL74</f>
        <v/>
      </c>
      <c r="C74" s="127" t="str">
        <f t="shared" si="69"/>
        <v/>
      </c>
      <c r="D74" s="128" t="str">
        <f t="shared" si="69"/>
        <v/>
      </c>
      <c r="E74" s="13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01" t="str">
        <f t="shared" si="14"/>
        <v/>
      </c>
      <c r="Z74" s="1"/>
      <c r="AA74" s="1"/>
      <c r="AB74" s="1" t="str">
        <f>IFERROR(VLOOKUP(Z74,'MIS FINANZAS'!$H$7:$J$103,3,0),"")</f>
        <v/>
      </c>
      <c r="AC74" s="1" t="str">
        <f>IFERROR(VLOOKUP(Z74,'MIS FINANZAS'!$H$7:$L$103,5,0),"")</f>
        <v/>
      </c>
      <c r="AD74" s="101" t="str">
        <f t="shared" si="4"/>
        <v/>
      </c>
      <c r="AE74" s="101" t="str">
        <f t="shared" si="5"/>
        <v/>
      </c>
      <c r="AF74" s="1"/>
      <c r="AG74" s="1"/>
      <c r="AH74" s="1" t="str">
        <f>IFERROR(VLOOKUP(AF74,'MIS FINANZAS'!$H$7:$J$103,3,0),"")</f>
        <v/>
      </c>
      <c r="AI74" s="1" t="str">
        <f>IFERROR(VLOOKUP(AF74,'MIS FINANZAS'!$H$7:$L$103,5,0),"")</f>
        <v/>
      </c>
      <c r="AJ74" s="131" t="str">
        <f t="shared" si="6"/>
        <v/>
      </c>
      <c r="AK74" s="101">
        <v>58.0</v>
      </c>
      <c r="AL74" s="131" t="str">
        <f t="shared" si="7"/>
        <v/>
      </c>
      <c r="AM74" s="131" t="str">
        <f t="shared" si="8"/>
        <v/>
      </c>
      <c r="AN74" s="131" t="str">
        <f t="shared" si="9"/>
        <v/>
      </c>
      <c r="AO74" s="131" t="str">
        <f t="shared" si="10"/>
        <v/>
      </c>
      <c r="AP74" s="131" t="str">
        <f t="shared" si="11"/>
        <v/>
      </c>
      <c r="AQ74" s="131" t="str">
        <f t="shared" si="12"/>
        <v/>
      </c>
    </row>
    <row r="75" ht="15.75" customHeight="1">
      <c r="A75" s="1"/>
      <c r="B75" s="126" t="str">
        <f t="shared" ref="B75:D75" si="70">AL75</f>
        <v/>
      </c>
      <c r="C75" s="127" t="str">
        <f t="shared" si="70"/>
        <v/>
      </c>
      <c r="D75" s="128" t="str">
        <f t="shared" si="70"/>
        <v/>
      </c>
      <c r="E75" s="13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01" t="str">
        <f t="shared" si="14"/>
        <v/>
      </c>
      <c r="Z75" s="1"/>
      <c r="AA75" s="1"/>
      <c r="AB75" s="1" t="str">
        <f>IFERROR(VLOOKUP(Z75,'MIS FINANZAS'!$H$7:$J$103,3,0),"")</f>
        <v/>
      </c>
      <c r="AC75" s="1" t="str">
        <f>IFERROR(VLOOKUP(Z75,'MIS FINANZAS'!$H$7:$L$103,5,0),"")</f>
        <v/>
      </c>
      <c r="AD75" s="101" t="str">
        <f t="shared" si="4"/>
        <v/>
      </c>
      <c r="AE75" s="101" t="str">
        <f t="shared" si="5"/>
        <v/>
      </c>
      <c r="AF75" s="1"/>
      <c r="AG75" s="1"/>
      <c r="AH75" s="1" t="str">
        <f>IFERROR(VLOOKUP(AF75,'MIS FINANZAS'!$H$7:$J$103,3,0),"")</f>
        <v/>
      </c>
      <c r="AI75" s="1" t="str">
        <f>IFERROR(VLOOKUP(AF75,'MIS FINANZAS'!$H$7:$L$103,5,0),"")</f>
        <v/>
      </c>
      <c r="AJ75" s="131" t="str">
        <f t="shared" si="6"/>
        <v/>
      </c>
      <c r="AK75" s="101">
        <v>59.0</v>
      </c>
      <c r="AL75" s="131" t="str">
        <f t="shared" si="7"/>
        <v/>
      </c>
      <c r="AM75" s="131" t="str">
        <f t="shared" si="8"/>
        <v/>
      </c>
      <c r="AN75" s="131" t="str">
        <f t="shared" si="9"/>
        <v/>
      </c>
      <c r="AO75" s="131" t="str">
        <f t="shared" si="10"/>
        <v/>
      </c>
      <c r="AP75" s="131" t="str">
        <f t="shared" si="11"/>
        <v/>
      </c>
      <c r="AQ75" s="131" t="str">
        <f t="shared" si="12"/>
        <v/>
      </c>
    </row>
    <row r="76" ht="15.75" customHeight="1">
      <c r="A76" s="1"/>
      <c r="B76" s="126" t="str">
        <f t="shared" ref="B76:D76" si="71">AL76</f>
        <v/>
      </c>
      <c r="C76" s="127" t="str">
        <f t="shared" si="71"/>
        <v/>
      </c>
      <c r="D76" s="128" t="str">
        <f t="shared" si="71"/>
        <v/>
      </c>
      <c r="E76" s="13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01" t="str">
        <f t="shared" si="14"/>
        <v/>
      </c>
      <c r="Z76" s="1"/>
      <c r="AA76" s="1"/>
      <c r="AB76" s="1" t="str">
        <f>IFERROR(VLOOKUP(Z76,'MIS FINANZAS'!$H$7:$J$103,3,0),"")</f>
        <v/>
      </c>
      <c r="AC76" s="1" t="str">
        <f>IFERROR(VLOOKUP(Z76,'MIS FINANZAS'!$H$7:$L$103,5,0),"")</f>
        <v/>
      </c>
      <c r="AD76" s="101" t="str">
        <f t="shared" si="4"/>
        <v/>
      </c>
      <c r="AE76" s="101" t="str">
        <f t="shared" si="5"/>
        <v/>
      </c>
      <c r="AF76" s="1"/>
      <c r="AG76" s="1"/>
      <c r="AH76" s="1" t="str">
        <f>IFERROR(VLOOKUP(AF76,'MIS FINANZAS'!$H$7:$J$103,3,0),"")</f>
        <v/>
      </c>
      <c r="AI76" s="1" t="str">
        <f>IFERROR(VLOOKUP(AF76,'MIS FINANZAS'!$H$7:$L$103,5,0),"")</f>
        <v/>
      </c>
      <c r="AJ76" s="131" t="str">
        <f t="shared" si="6"/>
        <v/>
      </c>
      <c r="AK76" s="101">
        <v>60.0</v>
      </c>
      <c r="AL76" s="131" t="str">
        <f t="shared" si="7"/>
        <v/>
      </c>
      <c r="AM76" s="131" t="str">
        <f t="shared" si="8"/>
        <v/>
      </c>
      <c r="AN76" s="131" t="str">
        <f t="shared" si="9"/>
        <v/>
      </c>
      <c r="AO76" s="131" t="str">
        <f t="shared" si="10"/>
        <v/>
      </c>
      <c r="AP76" s="131" t="str">
        <f t="shared" si="11"/>
        <v/>
      </c>
      <c r="AQ76" s="131" t="str">
        <f t="shared" si="12"/>
        <v/>
      </c>
    </row>
    <row r="77" ht="15.75" customHeight="1">
      <c r="A77" s="1"/>
      <c r="B77" s="126" t="str">
        <f t="shared" ref="B77:D77" si="72">AL77</f>
        <v/>
      </c>
      <c r="C77" s="127" t="str">
        <f t="shared" si="72"/>
        <v/>
      </c>
      <c r="D77" s="128" t="str">
        <f t="shared" si="72"/>
        <v/>
      </c>
      <c r="E77" s="13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01" t="str">
        <f t="shared" si="14"/>
        <v/>
      </c>
      <c r="Z77" s="1"/>
      <c r="AA77" s="1"/>
      <c r="AB77" s="1" t="str">
        <f>IFERROR(VLOOKUP(Z77,'MIS FINANZAS'!$H$7:$J$103,3,0),"")</f>
        <v/>
      </c>
      <c r="AC77" s="1" t="str">
        <f>IFERROR(VLOOKUP(Z77,'MIS FINANZAS'!$H$7:$L$103,5,0),"")</f>
        <v/>
      </c>
      <c r="AD77" s="101" t="str">
        <f t="shared" si="4"/>
        <v/>
      </c>
      <c r="AE77" s="101" t="str">
        <f t="shared" si="5"/>
        <v/>
      </c>
      <c r="AF77" s="1"/>
      <c r="AG77" s="1"/>
      <c r="AH77" s="1" t="str">
        <f>IFERROR(VLOOKUP(AF77,'MIS FINANZAS'!$H$7:$J$103,3,0),"")</f>
        <v/>
      </c>
      <c r="AI77" s="1" t="str">
        <f>IFERROR(VLOOKUP(AF77,'MIS FINANZAS'!$H$7:$L$103,5,0),"")</f>
        <v/>
      </c>
      <c r="AJ77" s="131" t="str">
        <f t="shared" si="6"/>
        <v/>
      </c>
      <c r="AK77" s="101">
        <v>61.0</v>
      </c>
      <c r="AL77" s="131" t="str">
        <f t="shared" si="7"/>
        <v/>
      </c>
      <c r="AM77" s="131" t="str">
        <f t="shared" si="8"/>
        <v/>
      </c>
      <c r="AN77" s="131" t="str">
        <f t="shared" si="9"/>
        <v/>
      </c>
      <c r="AO77" s="131" t="str">
        <f t="shared" si="10"/>
        <v/>
      </c>
      <c r="AP77" s="131" t="str">
        <f t="shared" si="11"/>
        <v/>
      </c>
      <c r="AQ77" s="131" t="str">
        <f t="shared" si="12"/>
        <v/>
      </c>
    </row>
    <row r="78" ht="15.75" customHeight="1">
      <c r="A78" s="1"/>
      <c r="B78" s="126" t="str">
        <f t="shared" ref="B78:D78" si="73">AL78</f>
        <v/>
      </c>
      <c r="C78" s="127" t="str">
        <f t="shared" si="73"/>
        <v/>
      </c>
      <c r="D78" s="128" t="str">
        <f t="shared" si="73"/>
        <v/>
      </c>
      <c r="E78" s="13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01" t="str">
        <f t="shared" si="14"/>
        <v/>
      </c>
      <c r="Z78" s="1"/>
      <c r="AA78" s="1"/>
      <c r="AB78" s="1" t="str">
        <f>IFERROR(VLOOKUP(Z78,'MIS FINANZAS'!$H$7:$J$103,3,0),"")</f>
        <v/>
      </c>
      <c r="AC78" s="1" t="str">
        <f>IFERROR(VLOOKUP(Z78,'MIS FINANZAS'!$H$7:$L$103,5,0),"")</f>
        <v/>
      </c>
      <c r="AD78" s="101" t="str">
        <f t="shared" si="4"/>
        <v/>
      </c>
      <c r="AE78" s="101" t="str">
        <f t="shared" si="5"/>
        <v/>
      </c>
      <c r="AF78" s="1"/>
      <c r="AG78" s="1"/>
      <c r="AH78" s="1" t="str">
        <f>IFERROR(VLOOKUP(AF78,'MIS FINANZAS'!$H$7:$J$103,3,0),"")</f>
        <v/>
      </c>
      <c r="AI78" s="1" t="str">
        <f>IFERROR(VLOOKUP(AF78,'MIS FINANZAS'!$H$7:$L$103,5,0),"")</f>
        <v/>
      </c>
      <c r="AJ78" s="131" t="str">
        <f t="shared" si="6"/>
        <v/>
      </c>
      <c r="AK78" s="101">
        <v>62.0</v>
      </c>
      <c r="AL78" s="131" t="str">
        <f t="shared" si="7"/>
        <v/>
      </c>
      <c r="AM78" s="131" t="str">
        <f t="shared" si="8"/>
        <v/>
      </c>
      <c r="AN78" s="131" t="str">
        <f t="shared" si="9"/>
        <v/>
      </c>
      <c r="AO78" s="131" t="str">
        <f t="shared" si="10"/>
        <v/>
      </c>
      <c r="AP78" s="131" t="str">
        <f t="shared" si="11"/>
        <v/>
      </c>
      <c r="AQ78" s="131" t="str">
        <f t="shared" si="12"/>
        <v/>
      </c>
    </row>
    <row r="79" ht="15.75" customHeight="1">
      <c r="A79" s="1"/>
      <c r="B79" s="126" t="str">
        <f t="shared" ref="B79:D79" si="74">AL79</f>
        <v/>
      </c>
      <c r="C79" s="127" t="str">
        <f t="shared" si="74"/>
        <v/>
      </c>
      <c r="D79" s="128" t="str">
        <f t="shared" si="74"/>
        <v/>
      </c>
      <c r="E79" s="13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01" t="str">
        <f t="shared" si="14"/>
        <v/>
      </c>
      <c r="Z79" s="1"/>
      <c r="AA79" s="1"/>
      <c r="AB79" s="1" t="str">
        <f>IFERROR(VLOOKUP(Z79,'MIS FINANZAS'!$H$7:$J$103,3,0),"")</f>
        <v/>
      </c>
      <c r="AC79" s="1" t="str">
        <f>IFERROR(VLOOKUP(Z79,'MIS FINANZAS'!$H$7:$L$103,5,0),"")</f>
        <v/>
      </c>
      <c r="AD79" s="101" t="str">
        <f t="shared" si="4"/>
        <v/>
      </c>
      <c r="AE79" s="101" t="str">
        <f t="shared" si="5"/>
        <v/>
      </c>
      <c r="AF79" s="1"/>
      <c r="AG79" s="1"/>
      <c r="AH79" s="1" t="str">
        <f>IFERROR(VLOOKUP(AF79,'MIS FINANZAS'!$H$7:$J$103,3,0),"")</f>
        <v/>
      </c>
      <c r="AI79" s="1" t="str">
        <f>IFERROR(VLOOKUP(AF79,'MIS FINANZAS'!$H$7:$L$103,5,0),"")</f>
        <v/>
      </c>
      <c r="AJ79" s="131" t="str">
        <f t="shared" si="6"/>
        <v/>
      </c>
      <c r="AK79" s="101">
        <v>63.0</v>
      </c>
      <c r="AL79" s="131" t="str">
        <f t="shared" si="7"/>
        <v/>
      </c>
      <c r="AM79" s="131" t="str">
        <f t="shared" si="8"/>
        <v/>
      </c>
      <c r="AN79" s="131" t="str">
        <f t="shared" si="9"/>
        <v/>
      </c>
      <c r="AO79" s="131" t="str">
        <f t="shared" si="10"/>
        <v/>
      </c>
      <c r="AP79" s="131" t="str">
        <f t="shared" si="11"/>
        <v/>
      </c>
      <c r="AQ79" s="131" t="str">
        <f t="shared" si="12"/>
        <v/>
      </c>
    </row>
    <row r="80" ht="15.75" customHeight="1">
      <c r="A80" s="1"/>
      <c r="B80" s="126" t="str">
        <f t="shared" ref="B80:D80" si="75">AL80</f>
        <v/>
      </c>
      <c r="C80" s="127" t="str">
        <f t="shared" si="75"/>
        <v/>
      </c>
      <c r="D80" s="128" t="str">
        <f t="shared" si="75"/>
        <v/>
      </c>
      <c r="E80" s="13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01" t="str">
        <f t="shared" si="14"/>
        <v/>
      </c>
      <c r="Z80" s="1"/>
      <c r="AA80" s="1"/>
      <c r="AB80" s="1" t="str">
        <f>IFERROR(VLOOKUP(Z80,'MIS FINANZAS'!$H$7:$J$103,3,0),"")</f>
        <v/>
      </c>
      <c r="AC80" s="1" t="str">
        <f>IFERROR(VLOOKUP(Z80,'MIS FINANZAS'!$H$7:$L$103,5,0),"")</f>
        <v/>
      </c>
      <c r="AD80" s="101" t="str">
        <f t="shared" si="4"/>
        <v/>
      </c>
      <c r="AE80" s="101" t="str">
        <f t="shared" si="5"/>
        <v/>
      </c>
      <c r="AF80" s="1"/>
      <c r="AG80" s="1"/>
      <c r="AH80" s="1" t="str">
        <f>IFERROR(VLOOKUP(AF80,'MIS FINANZAS'!$H$7:$J$103,3,0),"")</f>
        <v/>
      </c>
      <c r="AI80" s="1" t="str">
        <f>IFERROR(VLOOKUP(AF80,'MIS FINANZAS'!$H$7:$L$103,5,0),"")</f>
        <v/>
      </c>
      <c r="AJ80" s="131" t="str">
        <f t="shared" si="6"/>
        <v/>
      </c>
      <c r="AK80" s="101">
        <v>64.0</v>
      </c>
      <c r="AL80" s="131" t="str">
        <f t="shared" si="7"/>
        <v/>
      </c>
      <c r="AM80" s="131" t="str">
        <f t="shared" si="8"/>
        <v/>
      </c>
      <c r="AN80" s="131" t="str">
        <f t="shared" si="9"/>
        <v/>
      </c>
      <c r="AO80" s="131" t="str">
        <f t="shared" si="10"/>
        <v/>
      </c>
      <c r="AP80" s="131" t="str">
        <f t="shared" si="11"/>
        <v/>
      </c>
      <c r="AQ80" s="131" t="str">
        <f t="shared" si="12"/>
        <v/>
      </c>
    </row>
    <row r="81" ht="15.75" customHeight="1">
      <c r="A81" s="1"/>
      <c r="B81" s="126" t="str">
        <f t="shared" ref="B81:D81" si="76">AL81</f>
        <v/>
      </c>
      <c r="C81" s="127" t="str">
        <f t="shared" si="76"/>
        <v/>
      </c>
      <c r="D81" s="128" t="str">
        <f t="shared" si="76"/>
        <v/>
      </c>
      <c r="E81" s="13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01" t="str">
        <f t="shared" si="14"/>
        <v/>
      </c>
      <c r="Z81" s="1"/>
      <c r="AA81" s="1"/>
      <c r="AB81" s="1" t="str">
        <f>IFERROR(VLOOKUP(Z81,'MIS FINANZAS'!$H$7:$J$103,3,0),"")</f>
        <v/>
      </c>
      <c r="AC81" s="1" t="str">
        <f>IFERROR(VLOOKUP(Z81,'MIS FINANZAS'!$H$7:$L$103,5,0),"")</f>
        <v/>
      </c>
      <c r="AD81" s="101" t="str">
        <f t="shared" si="4"/>
        <v/>
      </c>
      <c r="AE81" s="101" t="str">
        <f t="shared" si="5"/>
        <v/>
      </c>
      <c r="AF81" s="1"/>
      <c r="AG81" s="1"/>
      <c r="AH81" s="1" t="str">
        <f>IFERROR(VLOOKUP(AF81,'MIS FINANZAS'!$H$7:$J$103,3,0),"")</f>
        <v/>
      </c>
      <c r="AI81" s="1" t="str">
        <f>IFERROR(VLOOKUP(AF81,'MIS FINANZAS'!$H$7:$L$103,5,0),"")</f>
        <v/>
      </c>
      <c r="AJ81" s="131" t="str">
        <f t="shared" si="6"/>
        <v/>
      </c>
      <c r="AK81" s="101">
        <v>65.0</v>
      </c>
      <c r="AL81" s="131" t="str">
        <f t="shared" si="7"/>
        <v/>
      </c>
      <c r="AM81" s="131" t="str">
        <f t="shared" si="8"/>
        <v/>
      </c>
      <c r="AN81" s="131" t="str">
        <f t="shared" si="9"/>
        <v/>
      </c>
      <c r="AO81" s="131" t="str">
        <f t="shared" si="10"/>
        <v/>
      </c>
      <c r="AP81" s="131" t="str">
        <f t="shared" si="11"/>
        <v/>
      </c>
      <c r="AQ81" s="131" t="str">
        <f t="shared" si="12"/>
        <v/>
      </c>
    </row>
    <row r="82" ht="15.75" customHeight="1">
      <c r="A82" s="1"/>
      <c r="B82" s="126" t="str">
        <f t="shared" ref="B82:D82" si="77">AL82</f>
        <v/>
      </c>
      <c r="C82" s="127" t="str">
        <f t="shared" si="77"/>
        <v/>
      </c>
      <c r="D82" s="128" t="str">
        <f t="shared" si="77"/>
        <v/>
      </c>
      <c r="E82" s="13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01" t="str">
        <f t="shared" si="14"/>
        <v/>
      </c>
      <c r="Z82" s="1"/>
      <c r="AA82" s="1"/>
      <c r="AB82" s="1" t="str">
        <f>IFERROR(VLOOKUP(Z82,'MIS FINANZAS'!$H$7:$J$103,3,0),"")</f>
        <v/>
      </c>
      <c r="AC82" s="1" t="str">
        <f>IFERROR(VLOOKUP(Z82,'MIS FINANZAS'!$H$7:$L$103,5,0),"")</f>
        <v/>
      </c>
      <c r="AD82" s="101" t="str">
        <f t="shared" si="4"/>
        <v/>
      </c>
      <c r="AE82" s="101" t="str">
        <f t="shared" si="5"/>
        <v/>
      </c>
      <c r="AF82" s="1"/>
      <c r="AG82" s="1"/>
      <c r="AH82" s="1" t="str">
        <f>IFERROR(VLOOKUP(AF82,'MIS FINANZAS'!$H$7:$J$103,3,0),"")</f>
        <v/>
      </c>
      <c r="AI82" s="1" t="str">
        <f>IFERROR(VLOOKUP(AF82,'MIS FINANZAS'!$H$7:$L$103,5,0),"")</f>
        <v/>
      </c>
      <c r="AJ82" s="131" t="str">
        <f t="shared" si="6"/>
        <v/>
      </c>
      <c r="AK82" s="101">
        <v>66.0</v>
      </c>
      <c r="AL82" s="131" t="str">
        <f t="shared" si="7"/>
        <v/>
      </c>
      <c r="AM82" s="131" t="str">
        <f t="shared" si="8"/>
        <v/>
      </c>
      <c r="AN82" s="131" t="str">
        <f t="shared" si="9"/>
        <v/>
      </c>
      <c r="AO82" s="131" t="str">
        <f t="shared" si="10"/>
        <v/>
      </c>
      <c r="AP82" s="131" t="str">
        <f t="shared" si="11"/>
        <v/>
      </c>
      <c r="AQ82" s="131" t="str">
        <f t="shared" si="12"/>
        <v/>
      </c>
    </row>
    <row r="83" ht="15.75" customHeight="1">
      <c r="A83" s="1"/>
      <c r="B83" s="126" t="str">
        <f t="shared" ref="B83:D83" si="78">AL83</f>
        <v/>
      </c>
      <c r="C83" s="127" t="str">
        <f t="shared" si="78"/>
        <v/>
      </c>
      <c r="D83" s="128" t="str">
        <f t="shared" si="78"/>
        <v/>
      </c>
      <c r="E83" s="13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01" t="str">
        <f t="shared" si="14"/>
        <v/>
      </c>
      <c r="Z83" s="1"/>
      <c r="AA83" s="1"/>
      <c r="AB83" s="1" t="str">
        <f>IFERROR(VLOOKUP(Z83,'MIS FINANZAS'!$H$7:$J$103,3,0),"")</f>
        <v/>
      </c>
      <c r="AC83" s="1" t="str">
        <f>IFERROR(VLOOKUP(Z83,'MIS FINANZAS'!$H$7:$L$103,5,0),"")</f>
        <v/>
      </c>
      <c r="AD83" s="101" t="str">
        <f t="shared" si="4"/>
        <v/>
      </c>
      <c r="AE83" s="101" t="str">
        <f t="shared" si="5"/>
        <v/>
      </c>
      <c r="AF83" s="1"/>
      <c r="AG83" s="1"/>
      <c r="AH83" s="1" t="str">
        <f>IFERROR(VLOOKUP(AF83,'MIS FINANZAS'!$H$7:$J$103,3,0),"")</f>
        <v/>
      </c>
      <c r="AI83" s="1" t="str">
        <f>IFERROR(VLOOKUP(AF83,'MIS FINANZAS'!$H$7:$L$103,5,0),"")</f>
        <v/>
      </c>
      <c r="AJ83" s="131" t="str">
        <f t="shared" si="6"/>
        <v/>
      </c>
      <c r="AK83" s="101">
        <v>67.0</v>
      </c>
      <c r="AL83" s="131" t="str">
        <f t="shared" si="7"/>
        <v/>
      </c>
      <c r="AM83" s="131" t="str">
        <f t="shared" si="8"/>
        <v/>
      </c>
      <c r="AN83" s="131" t="str">
        <f t="shared" si="9"/>
        <v/>
      </c>
      <c r="AO83" s="131" t="str">
        <f t="shared" si="10"/>
        <v/>
      </c>
      <c r="AP83" s="131" t="str">
        <f t="shared" si="11"/>
        <v/>
      </c>
      <c r="AQ83" s="131" t="str">
        <f t="shared" si="12"/>
        <v/>
      </c>
    </row>
    <row r="84" ht="15.75" customHeight="1">
      <c r="A84" s="1"/>
      <c r="B84" s="126" t="str">
        <f t="shared" ref="B84:D84" si="79">AL84</f>
        <v/>
      </c>
      <c r="C84" s="127" t="str">
        <f t="shared" si="79"/>
        <v/>
      </c>
      <c r="D84" s="128" t="str">
        <f t="shared" si="79"/>
        <v/>
      </c>
      <c r="E84" s="13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01" t="str">
        <f t="shared" si="14"/>
        <v/>
      </c>
      <c r="Z84" s="1"/>
      <c r="AA84" s="1"/>
      <c r="AB84" s="1" t="str">
        <f>IFERROR(VLOOKUP(Z84,'MIS FINANZAS'!$H$7:$J$103,3,0),"")</f>
        <v/>
      </c>
      <c r="AC84" s="1" t="str">
        <f>IFERROR(VLOOKUP(Z84,'MIS FINANZAS'!$H$7:$L$103,5,0),"")</f>
        <v/>
      </c>
      <c r="AD84" s="101" t="str">
        <f t="shared" si="4"/>
        <v/>
      </c>
      <c r="AE84" s="101" t="str">
        <f t="shared" si="5"/>
        <v/>
      </c>
      <c r="AF84" s="1"/>
      <c r="AG84" s="1"/>
      <c r="AH84" s="1" t="str">
        <f>IFERROR(VLOOKUP(AF84,'MIS FINANZAS'!$H$7:$J$103,3,0),"")</f>
        <v/>
      </c>
      <c r="AI84" s="1" t="str">
        <f>IFERROR(VLOOKUP(AF84,'MIS FINANZAS'!$H$7:$L$103,5,0),"")</f>
        <v/>
      </c>
      <c r="AJ84" s="131" t="str">
        <f t="shared" si="6"/>
        <v/>
      </c>
      <c r="AK84" s="101">
        <v>68.0</v>
      </c>
      <c r="AL84" s="131" t="str">
        <f t="shared" si="7"/>
        <v/>
      </c>
      <c r="AM84" s="131" t="str">
        <f t="shared" si="8"/>
        <v/>
      </c>
      <c r="AN84" s="131" t="str">
        <f t="shared" si="9"/>
        <v/>
      </c>
      <c r="AO84" s="131" t="str">
        <f t="shared" si="10"/>
        <v/>
      </c>
      <c r="AP84" s="131" t="str">
        <f t="shared" si="11"/>
        <v/>
      </c>
      <c r="AQ84" s="131" t="str">
        <f t="shared" si="12"/>
        <v/>
      </c>
    </row>
    <row r="85" ht="15.75" customHeight="1">
      <c r="A85" s="1"/>
      <c r="B85" s="126" t="str">
        <f t="shared" ref="B85:D85" si="80">AL85</f>
        <v/>
      </c>
      <c r="C85" s="127" t="str">
        <f t="shared" si="80"/>
        <v/>
      </c>
      <c r="D85" s="128" t="str">
        <f t="shared" si="80"/>
        <v/>
      </c>
      <c r="E85" s="13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01" t="str">
        <f t="shared" si="14"/>
        <v/>
      </c>
      <c r="Z85" s="1"/>
      <c r="AA85" s="1"/>
      <c r="AB85" s="1" t="str">
        <f>IFERROR(VLOOKUP(Z85,'MIS FINANZAS'!$H$7:$J$103,3,0),"")</f>
        <v/>
      </c>
      <c r="AC85" s="1" t="str">
        <f>IFERROR(VLOOKUP(Z85,'MIS FINANZAS'!$H$7:$L$103,5,0),"")</f>
        <v/>
      </c>
      <c r="AD85" s="101" t="str">
        <f t="shared" si="4"/>
        <v/>
      </c>
      <c r="AE85" s="101" t="str">
        <f t="shared" si="5"/>
        <v/>
      </c>
      <c r="AF85" s="1"/>
      <c r="AG85" s="1"/>
      <c r="AH85" s="1" t="str">
        <f>IFERROR(VLOOKUP(AF85,'MIS FINANZAS'!$H$7:$J$103,3,0),"")</f>
        <v/>
      </c>
      <c r="AI85" s="1" t="str">
        <f>IFERROR(VLOOKUP(AF85,'MIS FINANZAS'!$H$7:$L$103,5,0),"")</f>
        <v/>
      </c>
      <c r="AJ85" s="131" t="str">
        <f t="shared" si="6"/>
        <v/>
      </c>
      <c r="AK85" s="101">
        <v>69.0</v>
      </c>
      <c r="AL85" s="131" t="str">
        <f t="shared" si="7"/>
        <v/>
      </c>
      <c r="AM85" s="131" t="str">
        <f t="shared" si="8"/>
        <v/>
      </c>
      <c r="AN85" s="131" t="str">
        <f t="shared" si="9"/>
        <v/>
      </c>
      <c r="AO85" s="131" t="str">
        <f t="shared" si="10"/>
        <v/>
      </c>
      <c r="AP85" s="131" t="str">
        <f t="shared" si="11"/>
        <v/>
      </c>
      <c r="AQ85" s="131" t="str">
        <f t="shared" si="12"/>
        <v/>
      </c>
    </row>
    <row r="86" ht="15.75" customHeight="1">
      <c r="A86" s="1"/>
      <c r="B86" s="126" t="str">
        <f t="shared" ref="B86:D86" si="81">AL86</f>
        <v/>
      </c>
      <c r="C86" s="127" t="str">
        <f t="shared" si="81"/>
        <v/>
      </c>
      <c r="D86" s="128" t="str">
        <f t="shared" si="81"/>
        <v/>
      </c>
      <c r="E86" s="13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01" t="str">
        <f t="shared" si="14"/>
        <v/>
      </c>
      <c r="Z86" s="1"/>
      <c r="AA86" s="1"/>
      <c r="AB86" s="1" t="str">
        <f>IFERROR(VLOOKUP(Z86,'MIS FINANZAS'!$H$7:$J$103,3,0),"")</f>
        <v/>
      </c>
      <c r="AC86" s="1" t="str">
        <f>IFERROR(VLOOKUP(Z86,'MIS FINANZAS'!$H$7:$L$103,5,0),"")</f>
        <v/>
      </c>
      <c r="AD86" s="101" t="str">
        <f t="shared" si="4"/>
        <v/>
      </c>
      <c r="AE86" s="101" t="str">
        <f t="shared" si="5"/>
        <v/>
      </c>
      <c r="AF86" s="1"/>
      <c r="AG86" s="1"/>
      <c r="AH86" s="1" t="str">
        <f>IFERROR(VLOOKUP(AF86,'MIS FINANZAS'!$H$7:$J$103,3,0),"")</f>
        <v/>
      </c>
      <c r="AI86" s="1" t="str">
        <f>IFERROR(VLOOKUP(AF86,'MIS FINANZAS'!$H$7:$L$103,5,0),"")</f>
        <v/>
      </c>
      <c r="AJ86" s="131" t="str">
        <f t="shared" si="6"/>
        <v/>
      </c>
      <c r="AK86" s="101">
        <v>70.0</v>
      </c>
      <c r="AL86" s="131" t="str">
        <f t="shared" si="7"/>
        <v/>
      </c>
      <c r="AM86" s="131" t="str">
        <f t="shared" si="8"/>
        <v/>
      </c>
      <c r="AN86" s="131" t="str">
        <f t="shared" si="9"/>
        <v/>
      </c>
      <c r="AO86" s="131" t="str">
        <f t="shared" si="10"/>
        <v/>
      </c>
      <c r="AP86" s="131" t="str">
        <f t="shared" si="11"/>
        <v/>
      </c>
      <c r="AQ86" s="131" t="str">
        <f t="shared" si="12"/>
        <v/>
      </c>
    </row>
    <row r="87" ht="15.75" customHeight="1">
      <c r="A87" s="1"/>
      <c r="B87" s="126" t="str">
        <f t="shared" ref="B87:D87" si="82">AL87</f>
        <v/>
      </c>
      <c r="C87" s="127" t="str">
        <f t="shared" si="82"/>
        <v/>
      </c>
      <c r="D87" s="128" t="str">
        <f t="shared" si="82"/>
        <v/>
      </c>
      <c r="E87" s="13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01" t="str">
        <f t="shared" si="14"/>
        <v/>
      </c>
      <c r="Z87" s="1"/>
      <c r="AA87" s="1"/>
      <c r="AB87" s="1" t="str">
        <f>IFERROR(VLOOKUP(Z87,'MIS FINANZAS'!$H$7:$J$103,3,0),"")</f>
        <v/>
      </c>
      <c r="AC87" s="1" t="str">
        <f>IFERROR(VLOOKUP(Z87,'MIS FINANZAS'!$H$7:$L$103,5,0),"")</f>
        <v/>
      </c>
      <c r="AD87" s="101" t="str">
        <f t="shared" si="4"/>
        <v/>
      </c>
      <c r="AE87" s="101" t="str">
        <f t="shared" si="5"/>
        <v/>
      </c>
      <c r="AF87" s="1"/>
      <c r="AG87" s="1"/>
      <c r="AH87" s="1" t="str">
        <f>IFERROR(VLOOKUP(AF87,'MIS FINANZAS'!$H$7:$J$103,3,0),"")</f>
        <v/>
      </c>
      <c r="AI87" s="1" t="str">
        <f>IFERROR(VLOOKUP(AF87,'MIS FINANZAS'!$H$7:$L$103,5,0),"")</f>
        <v/>
      </c>
      <c r="AJ87" s="131" t="str">
        <f t="shared" si="6"/>
        <v/>
      </c>
      <c r="AK87" s="101">
        <v>71.0</v>
      </c>
      <c r="AL87" s="131" t="str">
        <f t="shared" si="7"/>
        <v/>
      </c>
      <c r="AM87" s="131" t="str">
        <f t="shared" si="8"/>
        <v/>
      </c>
      <c r="AN87" s="131" t="str">
        <f t="shared" si="9"/>
        <v/>
      </c>
      <c r="AO87" s="131" t="str">
        <f t="shared" si="10"/>
        <v/>
      </c>
      <c r="AP87" s="131" t="str">
        <f t="shared" si="11"/>
        <v/>
      </c>
      <c r="AQ87" s="131" t="str">
        <f t="shared" si="12"/>
        <v/>
      </c>
    </row>
    <row r="88" ht="15.75" customHeight="1">
      <c r="A88" s="1"/>
      <c r="B88" s="126" t="str">
        <f t="shared" ref="B88:D88" si="83">AL88</f>
        <v/>
      </c>
      <c r="C88" s="127" t="str">
        <f t="shared" si="83"/>
        <v/>
      </c>
      <c r="D88" s="128" t="str">
        <f t="shared" si="83"/>
        <v/>
      </c>
      <c r="E88" s="13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01" t="str">
        <f t="shared" si="14"/>
        <v/>
      </c>
      <c r="Z88" s="1"/>
      <c r="AA88" s="1"/>
      <c r="AB88" s="1" t="str">
        <f>IFERROR(VLOOKUP(Z88,'MIS FINANZAS'!$H$7:$J$103,3,0),"")</f>
        <v/>
      </c>
      <c r="AC88" s="1" t="str">
        <f>IFERROR(VLOOKUP(Z88,'MIS FINANZAS'!$H$7:$L$103,5,0),"")</f>
        <v/>
      </c>
      <c r="AD88" s="101" t="str">
        <f t="shared" si="4"/>
        <v/>
      </c>
      <c r="AE88" s="101" t="str">
        <f t="shared" si="5"/>
        <v/>
      </c>
      <c r="AF88" s="1"/>
      <c r="AG88" s="1"/>
      <c r="AH88" s="1" t="str">
        <f>IFERROR(VLOOKUP(AF88,'MIS FINANZAS'!$H$7:$J$103,3,0),"")</f>
        <v/>
      </c>
      <c r="AI88" s="1" t="str">
        <f>IFERROR(VLOOKUP(AF88,'MIS FINANZAS'!$H$7:$L$103,5,0),"")</f>
        <v/>
      </c>
      <c r="AJ88" s="131" t="str">
        <f t="shared" si="6"/>
        <v/>
      </c>
      <c r="AK88" s="101">
        <v>72.0</v>
      </c>
      <c r="AL88" s="131" t="str">
        <f t="shared" si="7"/>
        <v/>
      </c>
      <c r="AM88" s="131" t="str">
        <f t="shared" si="8"/>
        <v/>
      </c>
      <c r="AN88" s="131" t="str">
        <f t="shared" si="9"/>
        <v/>
      </c>
      <c r="AO88" s="131" t="str">
        <f t="shared" si="10"/>
        <v/>
      </c>
      <c r="AP88" s="131" t="str">
        <f t="shared" si="11"/>
        <v/>
      </c>
      <c r="AQ88" s="131" t="str">
        <f t="shared" si="12"/>
        <v/>
      </c>
    </row>
    <row r="89" ht="15.75" customHeight="1">
      <c r="A89" s="1"/>
      <c r="B89" s="126" t="str">
        <f t="shared" ref="B89:D89" si="84">AL89</f>
        <v/>
      </c>
      <c r="C89" s="127" t="str">
        <f t="shared" si="84"/>
        <v/>
      </c>
      <c r="D89" s="128" t="str">
        <f t="shared" si="84"/>
        <v/>
      </c>
      <c r="E89" s="13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01" t="str">
        <f t="shared" si="14"/>
        <v/>
      </c>
      <c r="Z89" s="1"/>
      <c r="AA89" s="1"/>
      <c r="AB89" s="1" t="str">
        <f>IFERROR(VLOOKUP(Z89,'MIS FINANZAS'!$H$7:$J$103,3,0),"")</f>
        <v/>
      </c>
      <c r="AC89" s="1" t="str">
        <f>IFERROR(VLOOKUP(Z89,'MIS FINANZAS'!$H$7:$L$103,5,0),"")</f>
        <v/>
      </c>
      <c r="AD89" s="101" t="str">
        <f t="shared" si="4"/>
        <v/>
      </c>
      <c r="AE89" s="101" t="str">
        <f t="shared" si="5"/>
        <v/>
      </c>
      <c r="AF89" s="1"/>
      <c r="AG89" s="1"/>
      <c r="AH89" s="1" t="str">
        <f>IFERROR(VLOOKUP(AF89,'MIS FINANZAS'!$H$7:$J$103,3,0),"")</f>
        <v/>
      </c>
      <c r="AI89" s="1" t="str">
        <f>IFERROR(VLOOKUP(AF89,'MIS FINANZAS'!$H$7:$L$103,5,0),"")</f>
        <v/>
      </c>
      <c r="AJ89" s="131" t="str">
        <f t="shared" si="6"/>
        <v/>
      </c>
      <c r="AK89" s="101">
        <v>73.0</v>
      </c>
      <c r="AL89" s="131" t="str">
        <f t="shared" si="7"/>
        <v/>
      </c>
      <c r="AM89" s="131" t="str">
        <f t="shared" si="8"/>
        <v/>
      </c>
      <c r="AN89" s="131" t="str">
        <f t="shared" si="9"/>
        <v/>
      </c>
      <c r="AO89" s="131" t="str">
        <f t="shared" si="10"/>
        <v/>
      </c>
      <c r="AP89" s="131" t="str">
        <f t="shared" si="11"/>
        <v/>
      </c>
      <c r="AQ89" s="131" t="str">
        <f t="shared" si="12"/>
        <v/>
      </c>
    </row>
    <row r="90" ht="15.75" customHeight="1">
      <c r="A90" s="1"/>
      <c r="B90" s="126" t="str">
        <f t="shared" ref="B90:D90" si="85">AL90</f>
        <v/>
      </c>
      <c r="C90" s="127" t="str">
        <f t="shared" si="85"/>
        <v/>
      </c>
      <c r="D90" s="128" t="str">
        <f t="shared" si="85"/>
        <v/>
      </c>
      <c r="E90" s="13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01" t="str">
        <f t="shared" si="14"/>
        <v/>
      </c>
      <c r="Z90" s="1"/>
      <c r="AA90" s="1"/>
      <c r="AB90" s="1" t="str">
        <f>IFERROR(VLOOKUP(Z90,'MIS FINANZAS'!$H$7:$J$103,3,0),"")</f>
        <v/>
      </c>
      <c r="AC90" s="1" t="str">
        <f>IFERROR(VLOOKUP(Z90,'MIS FINANZAS'!$H$7:$L$103,5,0),"")</f>
        <v/>
      </c>
      <c r="AD90" s="101" t="str">
        <f t="shared" si="4"/>
        <v/>
      </c>
      <c r="AE90" s="101" t="str">
        <f t="shared" si="5"/>
        <v/>
      </c>
      <c r="AF90" s="1"/>
      <c r="AG90" s="1"/>
      <c r="AH90" s="1" t="str">
        <f>IFERROR(VLOOKUP(AF90,'MIS FINANZAS'!$H$7:$J$103,3,0),"")</f>
        <v/>
      </c>
      <c r="AI90" s="1" t="str">
        <f>IFERROR(VLOOKUP(AF90,'MIS FINANZAS'!$H$7:$L$103,5,0),"")</f>
        <v/>
      </c>
      <c r="AJ90" s="131" t="str">
        <f t="shared" si="6"/>
        <v/>
      </c>
      <c r="AK90" s="101">
        <v>74.0</v>
      </c>
      <c r="AL90" s="131" t="str">
        <f t="shared" si="7"/>
        <v/>
      </c>
      <c r="AM90" s="131" t="str">
        <f t="shared" si="8"/>
        <v/>
      </c>
      <c r="AN90" s="131" t="str">
        <f t="shared" si="9"/>
        <v/>
      </c>
      <c r="AO90" s="131" t="str">
        <f t="shared" si="10"/>
        <v/>
      </c>
      <c r="AP90" s="131" t="str">
        <f t="shared" si="11"/>
        <v/>
      </c>
      <c r="AQ90" s="131" t="str">
        <f t="shared" si="12"/>
        <v/>
      </c>
    </row>
    <row r="91" ht="15.75" customHeight="1">
      <c r="A91" s="1"/>
      <c r="B91" s="126" t="str">
        <f t="shared" ref="B91:D91" si="86">AL91</f>
        <v/>
      </c>
      <c r="C91" s="127" t="str">
        <f t="shared" si="86"/>
        <v/>
      </c>
      <c r="D91" s="128" t="str">
        <f t="shared" si="86"/>
        <v/>
      </c>
      <c r="E91" s="13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01" t="str">
        <f t="shared" si="14"/>
        <v/>
      </c>
      <c r="Z91" s="1"/>
      <c r="AA91" s="1"/>
      <c r="AB91" s="1" t="str">
        <f>IFERROR(VLOOKUP(Z91,'MIS FINANZAS'!$H$7:$J$103,3,0),"")</f>
        <v/>
      </c>
      <c r="AC91" s="1" t="str">
        <f>IFERROR(VLOOKUP(Z91,'MIS FINANZAS'!$H$7:$L$103,5,0),"")</f>
        <v/>
      </c>
      <c r="AD91" s="101" t="str">
        <f t="shared" si="4"/>
        <v/>
      </c>
      <c r="AE91" s="101" t="str">
        <f t="shared" si="5"/>
        <v/>
      </c>
      <c r="AF91" s="1"/>
      <c r="AG91" s="1"/>
      <c r="AH91" s="1" t="str">
        <f>IFERROR(VLOOKUP(AF91,'MIS FINANZAS'!$H$7:$J$103,3,0),"")</f>
        <v/>
      </c>
      <c r="AI91" s="1" t="str">
        <f>IFERROR(VLOOKUP(AF91,'MIS FINANZAS'!$H$7:$L$103,5,0),"")</f>
        <v/>
      </c>
      <c r="AJ91" s="131" t="str">
        <f t="shared" si="6"/>
        <v/>
      </c>
      <c r="AK91" s="101">
        <v>75.0</v>
      </c>
      <c r="AL91" s="131" t="str">
        <f t="shared" si="7"/>
        <v/>
      </c>
      <c r="AM91" s="131" t="str">
        <f t="shared" si="8"/>
        <v/>
      </c>
      <c r="AN91" s="131" t="str">
        <f t="shared" si="9"/>
        <v/>
      </c>
      <c r="AO91" s="131" t="str">
        <f t="shared" si="10"/>
        <v/>
      </c>
      <c r="AP91" s="131" t="str">
        <f t="shared" si="11"/>
        <v/>
      </c>
      <c r="AQ91" s="131" t="str">
        <f t="shared" si="12"/>
        <v/>
      </c>
    </row>
    <row r="92" ht="15.75" customHeight="1">
      <c r="A92" s="1"/>
      <c r="B92" s="126" t="str">
        <f t="shared" ref="B92:D92" si="87">AL92</f>
        <v/>
      </c>
      <c r="C92" s="127" t="str">
        <f t="shared" si="87"/>
        <v/>
      </c>
      <c r="D92" s="128" t="str">
        <f t="shared" si="87"/>
        <v/>
      </c>
      <c r="E92" s="13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01" t="str">
        <f t="shared" si="14"/>
        <v/>
      </c>
      <c r="Z92" s="1"/>
      <c r="AA92" s="1"/>
      <c r="AB92" s="1" t="str">
        <f>IFERROR(VLOOKUP(Z92,'MIS FINANZAS'!$H$7:$J$103,3,0),"")</f>
        <v/>
      </c>
      <c r="AC92" s="1" t="str">
        <f>IFERROR(VLOOKUP(Z92,'MIS FINANZAS'!$H$7:$L$103,5,0),"")</f>
        <v/>
      </c>
      <c r="AD92" s="101" t="str">
        <f t="shared" si="4"/>
        <v/>
      </c>
      <c r="AE92" s="101" t="str">
        <f t="shared" si="5"/>
        <v/>
      </c>
      <c r="AF92" s="1"/>
      <c r="AG92" s="1"/>
      <c r="AH92" s="1" t="str">
        <f>IFERROR(VLOOKUP(AF92,'MIS FINANZAS'!$H$7:$J$103,3,0),"")</f>
        <v/>
      </c>
      <c r="AI92" s="1" t="str">
        <f>IFERROR(VLOOKUP(AF92,'MIS FINANZAS'!$H$7:$L$103,5,0),"")</f>
        <v/>
      </c>
      <c r="AJ92" s="131" t="str">
        <f t="shared" si="6"/>
        <v/>
      </c>
      <c r="AK92" s="101">
        <v>76.0</v>
      </c>
      <c r="AL92" s="131" t="str">
        <f t="shared" si="7"/>
        <v/>
      </c>
      <c r="AM92" s="131" t="str">
        <f t="shared" si="8"/>
        <v/>
      </c>
      <c r="AN92" s="131" t="str">
        <f t="shared" si="9"/>
        <v/>
      </c>
      <c r="AO92" s="131" t="str">
        <f t="shared" si="10"/>
        <v/>
      </c>
      <c r="AP92" s="131" t="str">
        <f t="shared" si="11"/>
        <v/>
      </c>
      <c r="AQ92" s="131" t="str">
        <f t="shared" si="12"/>
        <v/>
      </c>
    </row>
    <row r="93" ht="15.75" customHeight="1">
      <c r="A93" s="1"/>
      <c r="B93" s="126" t="str">
        <f t="shared" ref="B93:D93" si="88">AL93</f>
        <v/>
      </c>
      <c r="C93" s="127" t="str">
        <f t="shared" si="88"/>
        <v/>
      </c>
      <c r="D93" s="128" t="str">
        <f t="shared" si="88"/>
        <v/>
      </c>
      <c r="E93" s="13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01" t="str">
        <f t="shared" si="14"/>
        <v/>
      </c>
      <c r="Z93" s="1"/>
      <c r="AA93" s="1"/>
      <c r="AB93" s="1" t="str">
        <f>IFERROR(VLOOKUP(Z93,'MIS FINANZAS'!$H$7:$J$103,3,0),"")</f>
        <v/>
      </c>
      <c r="AC93" s="1" t="str">
        <f>IFERROR(VLOOKUP(Z93,'MIS FINANZAS'!$H$7:$L$103,5,0),"")</f>
        <v/>
      </c>
      <c r="AD93" s="101" t="str">
        <f t="shared" si="4"/>
        <v/>
      </c>
      <c r="AE93" s="101" t="str">
        <f t="shared" si="5"/>
        <v/>
      </c>
      <c r="AF93" s="1"/>
      <c r="AG93" s="1"/>
      <c r="AH93" s="1" t="str">
        <f>IFERROR(VLOOKUP(AF93,'MIS FINANZAS'!$H$7:$J$103,3,0),"")</f>
        <v/>
      </c>
      <c r="AI93" s="1" t="str">
        <f>IFERROR(VLOOKUP(AF93,'MIS FINANZAS'!$H$7:$L$103,5,0),"")</f>
        <v/>
      </c>
      <c r="AJ93" s="131" t="str">
        <f t="shared" si="6"/>
        <v/>
      </c>
      <c r="AK93" s="101">
        <v>77.0</v>
      </c>
      <c r="AL93" s="131" t="str">
        <f t="shared" si="7"/>
        <v/>
      </c>
      <c r="AM93" s="131" t="str">
        <f t="shared" si="8"/>
        <v/>
      </c>
      <c r="AN93" s="131" t="str">
        <f t="shared" si="9"/>
        <v/>
      </c>
      <c r="AO93" s="131" t="str">
        <f t="shared" si="10"/>
        <v/>
      </c>
      <c r="AP93" s="131" t="str">
        <f t="shared" si="11"/>
        <v/>
      </c>
      <c r="AQ93" s="131" t="str">
        <f t="shared" si="12"/>
        <v/>
      </c>
    </row>
    <row r="94" ht="15.75" customHeight="1">
      <c r="A94" s="1"/>
      <c r="B94" s="126" t="str">
        <f t="shared" ref="B94:D94" si="89">AL94</f>
        <v/>
      </c>
      <c r="C94" s="127" t="str">
        <f t="shared" si="89"/>
        <v/>
      </c>
      <c r="D94" s="128" t="str">
        <f t="shared" si="89"/>
        <v/>
      </c>
      <c r="E94" s="13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01" t="str">
        <f t="shared" si="14"/>
        <v/>
      </c>
      <c r="Z94" s="1"/>
      <c r="AA94" s="1"/>
      <c r="AB94" s="1" t="str">
        <f>IFERROR(VLOOKUP(Z94,'MIS FINANZAS'!$H$7:$J$103,3,0),"")</f>
        <v/>
      </c>
      <c r="AC94" s="1" t="str">
        <f>IFERROR(VLOOKUP(Z94,'MIS FINANZAS'!$H$7:$L$103,5,0),"")</f>
        <v/>
      </c>
      <c r="AD94" s="101" t="str">
        <f t="shared" si="4"/>
        <v/>
      </c>
      <c r="AE94" s="101" t="str">
        <f t="shared" si="5"/>
        <v/>
      </c>
      <c r="AF94" s="1"/>
      <c r="AG94" s="1"/>
      <c r="AH94" s="1" t="str">
        <f>IFERROR(VLOOKUP(AF94,'MIS FINANZAS'!$H$7:$J$103,3,0),"")</f>
        <v/>
      </c>
      <c r="AI94" s="1" t="str">
        <f>IFERROR(VLOOKUP(AF94,'MIS FINANZAS'!$H$7:$L$103,5,0),"")</f>
        <v/>
      </c>
      <c r="AJ94" s="131" t="str">
        <f t="shared" si="6"/>
        <v/>
      </c>
      <c r="AK94" s="101">
        <v>78.0</v>
      </c>
      <c r="AL94" s="131" t="str">
        <f t="shared" si="7"/>
        <v/>
      </c>
      <c r="AM94" s="131" t="str">
        <f t="shared" si="8"/>
        <v/>
      </c>
      <c r="AN94" s="131" t="str">
        <f t="shared" si="9"/>
        <v/>
      </c>
      <c r="AO94" s="131" t="str">
        <f t="shared" si="10"/>
        <v/>
      </c>
      <c r="AP94" s="131" t="str">
        <f t="shared" si="11"/>
        <v/>
      </c>
      <c r="AQ94" s="131" t="str">
        <f t="shared" si="12"/>
        <v/>
      </c>
    </row>
    <row r="95" ht="15.75" customHeight="1">
      <c r="A95" s="1"/>
      <c r="B95" s="126" t="str">
        <f t="shared" ref="B95:D95" si="90">AL95</f>
        <v/>
      </c>
      <c r="C95" s="127" t="str">
        <f t="shared" si="90"/>
        <v/>
      </c>
      <c r="D95" s="128" t="str">
        <f t="shared" si="90"/>
        <v/>
      </c>
      <c r="E95" s="13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01" t="str">
        <f t="shared" si="14"/>
        <v/>
      </c>
      <c r="Z95" s="1"/>
      <c r="AA95" s="1"/>
      <c r="AB95" s="1" t="str">
        <f>IFERROR(VLOOKUP(Z95,'MIS FINANZAS'!$H$7:$J$103,3,0),"")</f>
        <v/>
      </c>
      <c r="AC95" s="1" t="str">
        <f>IFERROR(VLOOKUP(Z95,'MIS FINANZAS'!$H$7:$L$103,5,0),"")</f>
        <v/>
      </c>
      <c r="AD95" s="101" t="str">
        <f t="shared" si="4"/>
        <v/>
      </c>
      <c r="AE95" s="101" t="str">
        <f t="shared" si="5"/>
        <v/>
      </c>
      <c r="AF95" s="1"/>
      <c r="AG95" s="1"/>
      <c r="AH95" s="1" t="str">
        <f>IFERROR(VLOOKUP(AF95,'MIS FINANZAS'!$H$7:$J$103,3,0),"")</f>
        <v/>
      </c>
      <c r="AI95" s="1" t="str">
        <f>IFERROR(VLOOKUP(AF95,'MIS FINANZAS'!$H$7:$L$103,5,0),"")</f>
        <v/>
      </c>
      <c r="AJ95" s="131" t="str">
        <f t="shared" si="6"/>
        <v/>
      </c>
      <c r="AK95" s="101">
        <v>79.0</v>
      </c>
      <c r="AL95" s="131" t="str">
        <f t="shared" si="7"/>
        <v/>
      </c>
      <c r="AM95" s="131" t="str">
        <f t="shared" si="8"/>
        <v/>
      </c>
      <c r="AN95" s="131" t="str">
        <f t="shared" si="9"/>
        <v/>
      </c>
      <c r="AO95" s="131" t="str">
        <f t="shared" si="10"/>
        <v/>
      </c>
      <c r="AP95" s="131" t="str">
        <f t="shared" si="11"/>
        <v/>
      </c>
      <c r="AQ95" s="131" t="str">
        <f t="shared" si="12"/>
        <v/>
      </c>
    </row>
    <row r="96" ht="15.75" customHeight="1">
      <c r="A96" s="1"/>
      <c r="B96" s="126" t="str">
        <f t="shared" ref="B96:D96" si="91">AL96</f>
        <v/>
      </c>
      <c r="C96" s="127" t="str">
        <f t="shared" si="91"/>
        <v/>
      </c>
      <c r="D96" s="128" t="str">
        <f t="shared" si="91"/>
        <v/>
      </c>
      <c r="E96" s="13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01" t="str">
        <f t="shared" si="14"/>
        <v/>
      </c>
      <c r="Z96" s="1"/>
      <c r="AA96" s="1"/>
      <c r="AB96" s="1" t="str">
        <f>IFERROR(VLOOKUP(Z96,'MIS FINANZAS'!$H$7:$J$103,3,0),"")</f>
        <v/>
      </c>
      <c r="AC96" s="1" t="str">
        <f>IFERROR(VLOOKUP(Z96,'MIS FINANZAS'!$H$7:$L$103,5,0),"")</f>
        <v/>
      </c>
      <c r="AD96" s="101" t="str">
        <f t="shared" si="4"/>
        <v/>
      </c>
      <c r="AE96" s="101" t="str">
        <f t="shared" si="5"/>
        <v/>
      </c>
      <c r="AF96" s="1"/>
      <c r="AG96" s="1"/>
      <c r="AH96" s="1" t="str">
        <f>IFERROR(VLOOKUP(AF96,'MIS FINANZAS'!$H$7:$J$103,3,0),"")</f>
        <v/>
      </c>
      <c r="AI96" s="1" t="str">
        <f>IFERROR(VLOOKUP(AF96,'MIS FINANZAS'!$H$7:$L$103,5,0),"")</f>
        <v/>
      </c>
      <c r="AJ96" s="131" t="str">
        <f t="shared" si="6"/>
        <v/>
      </c>
      <c r="AK96" s="101">
        <v>80.0</v>
      </c>
      <c r="AL96" s="131" t="str">
        <f t="shared" si="7"/>
        <v/>
      </c>
      <c r="AM96" s="131" t="str">
        <f t="shared" si="8"/>
        <v/>
      </c>
      <c r="AN96" s="131" t="str">
        <f t="shared" si="9"/>
        <v/>
      </c>
      <c r="AO96" s="131" t="str">
        <f t="shared" si="10"/>
        <v/>
      </c>
      <c r="AP96" s="131" t="str">
        <f t="shared" si="11"/>
        <v/>
      </c>
      <c r="AQ96" s="131" t="str">
        <f t="shared" si="12"/>
        <v/>
      </c>
    </row>
    <row r="97" ht="15.75" customHeight="1">
      <c r="A97" s="1"/>
      <c r="B97" s="126" t="str">
        <f t="shared" ref="B97:D97" si="92">AL97</f>
        <v/>
      </c>
      <c r="C97" s="127" t="str">
        <f t="shared" si="92"/>
        <v/>
      </c>
      <c r="D97" s="128" t="str">
        <f t="shared" si="92"/>
        <v/>
      </c>
      <c r="E97" s="13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01" t="str">
        <f t="shared" si="14"/>
        <v/>
      </c>
      <c r="Z97" s="1"/>
      <c r="AA97" s="1"/>
      <c r="AB97" s="1" t="str">
        <f>IFERROR(VLOOKUP(Z97,'MIS FINANZAS'!$H$7:$J$103,3,0),"")</f>
        <v/>
      </c>
      <c r="AC97" s="1" t="str">
        <f>IFERROR(VLOOKUP(Z97,'MIS FINANZAS'!$H$7:$L$103,5,0),"")</f>
        <v/>
      </c>
      <c r="AD97" s="101" t="str">
        <f t="shared" si="4"/>
        <v/>
      </c>
      <c r="AE97" s="101" t="str">
        <f t="shared" si="5"/>
        <v/>
      </c>
      <c r="AF97" s="1"/>
      <c r="AG97" s="1"/>
      <c r="AH97" s="1" t="str">
        <f>IFERROR(VLOOKUP(AF97,'MIS FINANZAS'!$H$7:$J$103,3,0),"")</f>
        <v/>
      </c>
      <c r="AI97" s="1" t="str">
        <f>IFERROR(VLOOKUP(AF97,'MIS FINANZAS'!$H$7:$L$103,5,0),"")</f>
        <v/>
      </c>
      <c r="AJ97" s="131" t="str">
        <f t="shared" si="6"/>
        <v/>
      </c>
      <c r="AK97" s="101">
        <v>81.0</v>
      </c>
      <c r="AL97" s="131" t="str">
        <f t="shared" si="7"/>
        <v/>
      </c>
      <c r="AM97" s="131" t="str">
        <f t="shared" si="8"/>
        <v/>
      </c>
      <c r="AN97" s="131" t="str">
        <f t="shared" si="9"/>
        <v/>
      </c>
      <c r="AO97" s="131" t="str">
        <f t="shared" si="10"/>
        <v/>
      </c>
      <c r="AP97" s="131" t="str">
        <f t="shared" si="11"/>
        <v/>
      </c>
      <c r="AQ97" s="131" t="str">
        <f t="shared" si="12"/>
        <v/>
      </c>
    </row>
    <row r="98" ht="15.75" customHeight="1">
      <c r="A98" s="1"/>
      <c r="B98" s="126" t="str">
        <f t="shared" ref="B98:D98" si="93">AL98</f>
        <v/>
      </c>
      <c r="C98" s="127" t="str">
        <f t="shared" si="93"/>
        <v/>
      </c>
      <c r="D98" s="128" t="str">
        <f t="shared" si="93"/>
        <v/>
      </c>
      <c r="E98" s="13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01" t="str">
        <f t="shared" si="14"/>
        <v/>
      </c>
      <c r="Z98" s="1"/>
      <c r="AA98" s="1"/>
      <c r="AB98" s="1" t="str">
        <f>IFERROR(VLOOKUP(Z98,'MIS FINANZAS'!$H$7:$J$103,3,0),"")</f>
        <v/>
      </c>
      <c r="AC98" s="1" t="str">
        <f>IFERROR(VLOOKUP(Z98,'MIS FINANZAS'!$H$7:$L$103,5,0),"")</f>
        <v/>
      </c>
      <c r="AD98" s="101" t="str">
        <f t="shared" si="4"/>
        <v/>
      </c>
      <c r="AE98" s="101" t="str">
        <f t="shared" si="5"/>
        <v/>
      </c>
      <c r="AF98" s="1"/>
      <c r="AG98" s="1"/>
      <c r="AH98" s="1" t="str">
        <f>IFERROR(VLOOKUP(AF98,'MIS FINANZAS'!$H$7:$J$103,3,0),"")</f>
        <v/>
      </c>
      <c r="AI98" s="1" t="str">
        <f>IFERROR(VLOOKUP(AF98,'MIS FINANZAS'!$H$7:$L$103,5,0),"")</f>
        <v/>
      </c>
      <c r="AJ98" s="131" t="str">
        <f t="shared" si="6"/>
        <v/>
      </c>
      <c r="AK98" s="101">
        <v>82.0</v>
      </c>
      <c r="AL98" s="131" t="str">
        <f t="shared" si="7"/>
        <v/>
      </c>
      <c r="AM98" s="131" t="str">
        <f t="shared" si="8"/>
        <v/>
      </c>
      <c r="AN98" s="131" t="str">
        <f t="shared" si="9"/>
        <v/>
      </c>
      <c r="AO98" s="131" t="str">
        <f t="shared" si="10"/>
        <v/>
      </c>
      <c r="AP98" s="131" t="str">
        <f t="shared" si="11"/>
        <v/>
      </c>
      <c r="AQ98" s="131" t="str">
        <f t="shared" si="12"/>
        <v/>
      </c>
    </row>
    <row r="99" ht="15.75" customHeight="1">
      <c r="A99" s="1"/>
      <c r="B99" s="126" t="str">
        <f t="shared" ref="B99:D99" si="94">AL99</f>
        <v/>
      </c>
      <c r="C99" s="127" t="str">
        <f t="shared" si="94"/>
        <v/>
      </c>
      <c r="D99" s="128" t="str">
        <f t="shared" si="94"/>
        <v/>
      </c>
      <c r="E99" s="13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01" t="str">
        <f t="shared" si="14"/>
        <v/>
      </c>
      <c r="Z99" s="1"/>
      <c r="AA99" s="1"/>
      <c r="AB99" s="1" t="str">
        <f>IFERROR(VLOOKUP(Z99,'MIS FINANZAS'!$H$7:$J$103,3,0),"")</f>
        <v/>
      </c>
      <c r="AC99" s="1" t="str">
        <f>IFERROR(VLOOKUP(Z99,'MIS FINANZAS'!$H$7:$L$103,5,0),"")</f>
        <v/>
      </c>
      <c r="AD99" s="101" t="str">
        <f t="shared" si="4"/>
        <v/>
      </c>
      <c r="AE99" s="101" t="str">
        <f t="shared" si="5"/>
        <v/>
      </c>
      <c r="AF99" s="1"/>
      <c r="AG99" s="1"/>
      <c r="AH99" s="1" t="str">
        <f>IFERROR(VLOOKUP(AF99,'MIS FINANZAS'!$H$7:$J$103,3,0),"")</f>
        <v/>
      </c>
      <c r="AI99" s="1" t="str">
        <f>IFERROR(VLOOKUP(AF99,'MIS FINANZAS'!$H$7:$L$103,5,0),"")</f>
        <v/>
      </c>
      <c r="AJ99" s="131" t="str">
        <f t="shared" si="6"/>
        <v/>
      </c>
      <c r="AK99" s="101">
        <v>83.0</v>
      </c>
      <c r="AL99" s="131" t="str">
        <f t="shared" si="7"/>
        <v/>
      </c>
      <c r="AM99" s="131" t="str">
        <f t="shared" si="8"/>
        <v/>
      </c>
      <c r="AN99" s="131" t="str">
        <f t="shared" si="9"/>
        <v/>
      </c>
      <c r="AO99" s="131" t="str">
        <f t="shared" si="10"/>
        <v/>
      </c>
      <c r="AP99" s="131" t="str">
        <f t="shared" si="11"/>
        <v/>
      </c>
      <c r="AQ99" s="131" t="str">
        <f t="shared" si="12"/>
        <v/>
      </c>
    </row>
    <row r="100" ht="15.75" customHeight="1">
      <c r="A100" s="1"/>
      <c r="B100" s="126" t="str">
        <f t="shared" ref="B100:D100" si="95">AL100</f>
        <v/>
      </c>
      <c r="C100" s="127" t="str">
        <f t="shared" si="95"/>
        <v/>
      </c>
      <c r="D100" s="128" t="str">
        <f t="shared" si="95"/>
        <v/>
      </c>
      <c r="E100" s="13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01" t="str">
        <f t="shared" si="14"/>
        <v/>
      </c>
      <c r="Z100" s="1"/>
      <c r="AA100" s="1"/>
      <c r="AB100" s="1" t="str">
        <f>IFERROR(VLOOKUP(Z100,'MIS FINANZAS'!$H$7:$J$103,3,0),"")</f>
        <v/>
      </c>
      <c r="AC100" s="1" t="str">
        <f>IFERROR(VLOOKUP(Z100,'MIS FINANZAS'!$H$7:$L$103,5,0),"")</f>
        <v/>
      </c>
      <c r="AD100" s="101" t="str">
        <f t="shared" si="4"/>
        <v/>
      </c>
      <c r="AE100" s="101" t="str">
        <f t="shared" si="5"/>
        <v/>
      </c>
      <c r="AF100" s="1"/>
      <c r="AG100" s="1"/>
      <c r="AH100" s="1" t="str">
        <f>IFERROR(VLOOKUP(AF100,'MIS FINANZAS'!$H$7:$J$103,3,0),"")</f>
        <v/>
      </c>
      <c r="AI100" s="1" t="str">
        <f>IFERROR(VLOOKUP(AF100,'MIS FINANZAS'!$H$7:$L$103,5,0),"")</f>
        <v/>
      </c>
      <c r="AJ100" s="131" t="str">
        <f t="shared" si="6"/>
        <v/>
      </c>
      <c r="AK100" s="101">
        <v>84.0</v>
      </c>
      <c r="AL100" s="131" t="str">
        <f t="shared" si="7"/>
        <v/>
      </c>
      <c r="AM100" s="131" t="str">
        <f t="shared" si="8"/>
        <v/>
      </c>
      <c r="AN100" s="131" t="str">
        <f t="shared" si="9"/>
        <v/>
      </c>
      <c r="AO100" s="131" t="str">
        <f t="shared" si="10"/>
        <v/>
      </c>
      <c r="AP100" s="131" t="str">
        <f t="shared" si="11"/>
        <v/>
      </c>
      <c r="AQ100" s="131" t="str">
        <f t="shared" si="12"/>
        <v/>
      </c>
    </row>
    <row r="101" ht="15.75" customHeight="1">
      <c r="A101" s="1"/>
      <c r="B101" s="126" t="str">
        <f t="shared" ref="B101:D101" si="96">AL101</f>
        <v/>
      </c>
      <c r="C101" s="127" t="str">
        <f t="shared" si="96"/>
        <v/>
      </c>
      <c r="D101" s="128" t="str">
        <f t="shared" si="96"/>
        <v/>
      </c>
      <c r="E101" s="13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01" t="str">
        <f t="shared" si="14"/>
        <v/>
      </c>
      <c r="Z101" s="1"/>
      <c r="AA101" s="1"/>
      <c r="AB101" s="1" t="str">
        <f>IFERROR(VLOOKUP(Z101,'MIS FINANZAS'!$H$7:$J$103,3,0),"")</f>
        <v/>
      </c>
      <c r="AC101" s="1" t="str">
        <f>IFERROR(VLOOKUP(Z101,'MIS FINANZAS'!$H$7:$L$103,5,0),"")</f>
        <v/>
      </c>
      <c r="AD101" s="101" t="str">
        <f t="shared" si="4"/>
        <v/>
      </c>
      <c r="AE101" s="101" t="str">
        <f t="shared" si="5"/>
        <v/>
      </c>
      <c r="AF101" s="1"/>
      <c r="AG101" s="1"/>
      <c r="AH101" s="1" t="str">
        <f>IFERROR(VLOOKUP(AF101,'MIS FINANZAS'!$H$7:$J$103,3,0),"")</f>
        <v/>
      </c>
      <c r="AI101" s="1" t="str">
        <f>IFERROR(VLOOKUP(AF101,'MIS FINANZAS'!$H$7:$L$103,5,0),"")</f>
        <v/>
      </c>
      <c r="AJ101" s="131" t="str">
        <f t="shared" si="6"/>
        <v/>
      </c>
      <c r="AK101" s="101">
        <v>85.0</v>
      </c>
      <c r="AL101" s="131" t="str">
        <f t="shared" si="7"/>
        <v/>
      </c>
      <c r="AM101" s="131" t="str">
        <f t="shared" si="8"/>
        <v/>
      </c>
      <c r="AN101" s="131" t="str">
        <f t="shared" si="9"/>
        <v/>
      </c>
      <c r="AO101" s="131" t="str">
        <f t="shared" si="10"/>
        <v/>
      </c>
      <c r="AP101" s="131" t="str">
        <f t="shared" si="11"/>
        <v/>
      </c>
      <c r="AQ101" s="131" t="str">
        <f t="shared" si="12"/>
        <v/>
      </c>
    </row>
    <row r="102" ht="15.75" customHeight="1">
      <c r="A102" s="1"/>
      <c r="B102" s="126" t="str">
        <f t="shared" ref="B102:D102" si="97">AL102</f>
        <v/>
      </c>
      <c r="C102" s="127" t="str">
        <f t="shared" si="97"/>
        <v/>
      </c>
      <c r="D102" s="128" t="str">
        <f t="shared" si="97"/>
        <v/>
      </c>
      <c r="E102" s="13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01" t="str">
        <f t="shared" si="14"/>
        <v/>
      </c>
      <c r="Z102" s="1"/>
      <c r="AA102" s="1"/>
      <c r="AB102" s="1" t="str">
        <f>IFERROR(VLOOKUP(Z102,'MIS FINANZAS'!$H$7:$J$103,3,0),"")</f>
        <v/>
      </c>
      <c r="AC102" s="1" t="str">
        <f>IFERROR(VLOOKUP(Z102,'MIS FINANZAS'!$H$7:$L$103,5,0),"")</f>
        <v/>
      </c>
      <c r="AD102" s="101" t="str">
        <f t="shared" si="4"/>
        <v/>
      </c>
      <c r="AE102" s="101" t="str">
        <f t="shared" si="5"/>
        <v/>
      </c>
      <c r="AF102" s="1"/>
      <c r="AG102" s="1"/>
      <c r="AH102" s="1" t="str">
        <f>IFERROR(VLOOKUP(AF102,'MIS FINANZAS'!$H$7:$J$103,3,0),"")</f>
        <v/>
      </c>
      <c r="AI102" s="1" t="str">
        <f>IFERROR(VLOOKUP(AF102,'MIS FINANZAS'!$H$7:$L$103,5,0),"")</f>
        <v/>
      </c>
      <c r="AJ102" s="131" t="str">
        <f t="shared" si="6"/>
        <v/>
      </c>
      <c r="AK102" s="101">
        <v>86.0</v>
      </c>
      <c r="AL102" s="131" t="str">
        <f t="shared" si="7"/>
        <v/>
      </c>
      <c r="AM102" s="131" t="str">
        <f t="shared" si="8"/>
        <v/>
      </c>
      <c r="AN102" s="131" t="str">
        <f t="shared" si="9"/>
        <v/>
      </c>
      <c r="AO102" s="131" t="str">
        <f t="shared" si="10"/>
        <v/>
      </c>
      <c r="AP102" s="131" t="str">
        <f t="shared" si="11"/>
        <v/>
      </c>
      <c r="AQ102" s="131" t="str">
        <f t="shared" si="12"/>
        <v/>
      </c>
    </row>
    <row r="103" ht="15.75" customHeight="1">
      <c r="A103" s="1"/>
      <c r="B103" s="126" t="str">
        <f t="shared" ref="B103:D103" si="98">AL103</f>
        <v/>
      </c>
      <c r="C103" s="127" t="str">
        <f t="shared" si="98"/>
        <v/>
      </c>
      <c r="D103" s="128" t="str">
        <f t="shared" si="98"/>
        <v/>
      </c>
      <c r="E103" s="13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01" t="str">
        <f t="shared" si="14"/>
        <v/>
      </c>
      <c r="Z103" s="1"/>
      <c r="AA103" s="1"/>
      <c r="AB103" s="1" t="str">
        <f>IFERROR(VLOOKUP(Z103,'MIS FINANZAS'!$H$7:$J$103,3,0),"")</f>
        <v/>
      </c>
      <c r="AC103" s="1" t="str">
        <f>IFERROR(VLOOKUP(Z103,'MIS FINANZAS'!$H$7:$L$103,5,0),"")</f>
        <v/>
      </c>
      <c r="AD103" s="101" t="str">
        <f t="shared" si="4"/>
        <v/>
      </c>
      <c r="AE103" s="101" t="str">
        <f t="shared" si="5"/>
        <v/>
      </c>
      <c r="AF103" s="1"/>
      <c r="AG103" s="1"/>
      <c r="AH103" s="1" t="str">
        <f>IFERROR(VLOOKUP(AF103,'MIS FINANZAS'!$H$7:$J$103,3,0),"")</f>
        <v/>
      </c>
      <c r="AI103" s="1" t="str">
        <f>IFERROR(VLOOKUP(AF103,'MIS FINANZAS'!$H$7:$L$103,5,0),"")</f>
        <v/>
      </c>
      <c r="AJ103" s="131" t="str">
        <f t="shared" si="6"/>
        <v/>
      </c>
      <c r="AK103" s="101">
        <v>87.0</v>
      </c>
      <c r="AL103" s="131" t="str">
        <f t="shared" si="7"/>
        <v/>
      </c>
      <c r="AM103" s="131" t="str">
        <f t="shared" si="8"/>
        <v/>
      </c>
      <c r="AN103" s="131" t="str">
        <f t="shared" si="9"/>
        <v/>
      </c>
      <c r="AO103" s="131" t="str">
        <f t="shared" si="10"/>
        <v/>
      </c>
      <c r="AP103" s="131" t="str">
        <f t="shared" si="11"/>
        <v/>
      </c>
      <c r="AQ103" s="131" t="str">
        <f t="shared" si="12"/>
        <v/>
      </c>
    </row>
    <row r="104" ht="15.75" customHeight="1">
      <c r="A104" s="1"/>
      <c r="B104" s="126" t="str">
        <f t="shared" ref="B104:D104" si="99">AL104</f>
        <v/>
      </c>
      <c r="C104" s="127" t="str">
        <f t="shared" si="99"/>
        <v/>
      </c>
      <c r="D104" s="128" t="str">
        <f t="shared" si="99"/>
        <v/>
      </c>
      <c r="E104" s="13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01" t="str">
        <f t="shared" si="14"/>
        <v/>
      </c>
      <c r="Z104" s="1"/>
      <c r="AA104" s="1"/>
      <c r="AB104" s="1" t="str">
        <f>IFERROR(VLOOKUP(Z104,'MIS FINANZAS'!$H$7:$J$103,3,0),"")</f>
        <v/>
      </c>
      <c r="AC104" s="1" t="str">
        <f>IFERROR(VLOOKUP(Z104,'MIS FINANZAS'!$H$7:$L$103,5,0),"")</f>
        <v/>
      </c>
      <c r="AD104" s="101" t="str">
        <f t="shared" si="4"/>
        <v/>
      </c>
      <c r="AE104" s="101" t="str">
        <f t="shared" si="5"/>
        <v/>
      </c>
      <c r="AF104" s="1"/>
      <c r="AG104" s="1"/>
      <c r="AH104" s="1" t="str">
        <f>IFERROR(VLOOKUP(AF104,'MIS FINANZAS'!$H$7:$J$103,3,0),"")</f>
        <v/>
      </c>
      <c r="AI104" s="1" t="str">
        <f>IFERROR(VLOOKUP(AF104,'MIS FINANZAS'!$H$7:$L$103,5,0),"")</f>
        <v/>
      </c>
      <c r="AJ104" s="131" t="str">
        <f t="shared" si="6"/>
        <v/>
      </c>
      <c r="AK104" s="101">
        <v>88.0</v>
      </c>
      <c r="AL104" s="131" t="str">
        <f t="shared" si="7"/>
        <v/>
      </c>
      <c r="AM104" s="131" t="str">
        <f t="shared" si="8"/>
        <v/>
      </c>
      <c r="AN104" s="131" t="str">
        <f t="shared" si="9"/>
        <v/>
      </c>
      <c r="AO104" s="131" t="str">
        <f t="shared" si="10"/>
        <v/>
      </c>
      <c r="AP104" s="131" t="str">
        <f t="shared" si="11"/>
        <v/>
      </c>
      <c r="AQ104" s="131" t="str">
        <f t="shared" si="12"/>
        <v/>
      </c>
    </row>
    <row r="105" ht="15.75" customHeight="1">
      <c r="A105" s="1"/>
      <c r="B105" s="126" t="str">
        <f t="shared" ref="B105:D105" si="100">AL105</f>
        <v/>
      </c>
      <c r="C105" s="127" t="str">
        <f t="shared" si="100"/>
        <v/>
      </c>
      <c r="D105" s="128" t="str">
        <f t="shared" si="100"/>
        <v/>
      </c>
      <c r="E105" s="13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01" t="str">
        <f t="shared" si="14"/>
        <v/>
      </c>
      <c r="Z105" s="1"/>
      <c r="AA105" s="1"/>
      <c r="AB105" s="1" t="str">
        <f>IFERROR(VLOOKUP(Z105,'MIS FINANZAS'!$H$7:$J$103,3,0),"")</f>
        <v/>
      </c>
      <c r="AC105" s="1" t="str">
        <f>IFERROR(VLOOKUP(Z105,'MIS FINANZAS'!$H$7:$L$103,5,0),"")</f>
        <v/>
      </c>
      <c r="AD105" s="101" t="str">
        <f t="shared" si="4"/>
        <v/>
      </c>
      <c r="AE105" s="101" t="str">
        <f t="shared" si="5"/>
        <v/>
      </c>
      <c r="AF105" s="1"/>
      <c r="AG105" s="1"/>
      <c r="AH105" s="1" t="str">
        <f>IFERROR(VLOOKUP(AF105,'MIS FINANZAS'!$H$7:$J$103,3,0),"")</f>
        <v/>
      </c>
      <c r="AI105" s="1" t="str">
        <f>IFERROR(VLOOKUP(AF105,'MIS FINANZAS'!$H$7:$L$103,5,0),"")</f>
        <v/>
      </c>
      <c r="AJ105" s="131" t="str">
        <f t="shared" si="6"/>
        <v/>
      </c>
      <c r="AK105" s="101">
        <v>89.0</v>
      </c>
      <c r="AL105" s="131" t="str">
        <f t="shared" si="7"/>
        <v/>
      </c>
      <c r="AM105" s="131" t="str">
        <f t="shared" si="8"/>
        <v/>
      </c>
      <c r="AN105" s="131" t="str">
        <f t="shared" si="9"/>
        <v/>
      </c>
      <c r="AO105" s="131" t="str">
        <f t="shared" si="10"/>
        <v/>
      </c>
      <c r="AP105" s="131" t="str">
        <f t="shared" si="11"/>
        <v/>
      </c>
      <c r="AQ105" s="131" t="str">
        <f t="shared" si="12"/>
        <v/>
      </c>
    </row>
    <row r="106" ht="15.75" customHeight="1">
      <c r="A106" s="1"/>
      <c r="B106" s="126" t="str">
        <f t="shared" ref="B106:D106" si="101">AL106</f>
        <v/>
      </c>
      <c r="C106" s="127" t="str">
        <f t="shared" si="101"/>
        <v/>
      </c>
      <c r="D106" s="128" t="str">
        <f t="shared" si="101"/>
        <v/>
      </c>
      <c r="E106" s="13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01" t="str">
        <f t="shared" si="14"/>
        <v/>
      </c>
      <c r="Z106" s="1"/>
      <c r="AA106" s="1"/>
      <c r="AB106" s="1" t="str">
        <f>IFERROR(VLOOKUP(Z106,'MIS FINANZAS'!$H$7:$J$103,3,0),"")</f>
        <v/>
      </c>
      <c r="AC106" s="1" t="str">
        <f>IFERROR(VLOOKUP(Z106,'MIS FINANZAS'!$H$7:$L$103,5,0),"")</f>
        <v/>
      </c>
      <c r="AD106" s="101" t="str">
        <f t="shared" si="4"/>
        <v/>
      </c>
      <c r="AE106" s="101" t="str">
        <f t="shared" si="5"/>
        <v/>
      </c>
      <c r="AF106" s="1"/>
      <c r="AG106" s="1"/>
      <c r="AH106" s="1" t="str">
        <f>IFERROR(VLOOKUP(AF106,'MIS FINANZAS'!$H$7:$J$103,3,0),"")</f>
        <v/>
      </c>
      <c r="AI106" s="1" t="str">
        <f>IFERROR(VLOOKUP(AF106,'MIS FINANZAS'!$H$7:$L$103,5,0),"")</f>
        <v/>
      </c>
      <c r="AJ106" s="131" t="str">
        <f t="shared" si="6"/>
        <v/>
      </c>
      <c r="AK106" s="101">
        <v>90.0</v>
      </c>
      <c r="AL106" s="131" t="str">
        <f t="shared" si="7"/>
        <v/>
      </c>
      <c r="AM106" s="131" t="str">
        <f t="shared" si="8"/>
        <v/>
      </c>
      <c r="AN106" s="131" t="str">
        <f t="shared" si="9"/>
        <v/>
      </c>
      <c r="AO106" s="131" t="str">
        <f t="shared" si="10"/>
        <v/>
      </c>
      <c r="AP106" s="131" t="str">
        <f t="shared" si="11"/>
        <v/>
      </c>
      <c r="AQ106" s="131" t="str">
        <f t="shared" si="12"/>
        <v/>
      </c>
    </row>
    <row r="107" ht="15.75" customHeight="1">
      <c r="A107" s="1"/>
      <c r="B107" s="126" t="str">
        <f t="shared" ref="B107:D107" si="102">AL107</f>
        <v/>
      </c>
      <c r="C107" s="127" t="str">
        <f t="shared" si="102"/>
        <v/>
      </c>
      <c r="D107" s="128" t="str">
        <f t="shared" si="102"/>
        <v/>
      </c>
      <c r="E107" s="13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01" t="str">
        <f t="shared" si="14"/>
        <v/>
      </c>
      <c r="Z107" s="1"/>
      <c r="AA107" s="1"/>
      <c r="AB107" s="1" t="str">
        <f>IFERROR(VLOOKUP(Z107,'MIS FINANZAS'!$H$7:$J$103,3,0),"")</f>
        <v/>
      </c>
      <c r="AC107" s="1" t="str">
        <f>IFERROR(VLOOKUP(Z107,'MIS FINANZAS'!$H$7:$L$103,5,0),"")</f>
        <v/>
      </c>
      <c r="AD107" s="101" t="str">
        <f t="shared" si="4"/>
        <v/>
      </c>
      <c r="AE107" s="101" t="str">
        <f t="shared" si="5"/>
        <v/>
      </c>
      <c r="AF107" s="1"/>
      <c r="AG107" s="1"/>
      <c r="AH107" s="1" t="str">
        <f>IFERROR(VLOOKUP(AF107,'MIS FINANZAS'!$H$7:$J$103,3,0),"")</f>
        <v/>
      </c>
      <c r="AI107" s="1" t="str">
        <f>IFERROR(VLOOKUP(AF107,'MIS FINANZAS'!$H$7:$L$103,5,0),"")</f>
        <v/>
      </c>
      <c r="AJ107" s="131" t="str">
        <f t="shared" si="6"/>
        <v/>
      </c>
      <c r="AK107" s="101">
        <v>91.0</v>
      </c>
      <c r="AL107" s="131" t="str">
        <f t="shared" si="7"/>
        <v/>
      </c>
      <c r="AM107" s="131" t="str">
        <f t="shared" si="8"/>
        <v/>
      </c>
      <c r="AN107" s="131" t="str">
        <f t="shared" si="9"/>
        <v/>
      </c>
      <c r="AO107" s="131" t="str">
        <f t="shared" si="10"/>
        <v/>
      </c>
      <c r="AP107" s="131" t="str">
        <f t="shared" si="11"/>
        <v/>
      </c>
      <c r="AQ107" s="131" t="str">
        <f t="shared" si="12"/>
        <v/>
      </c>
    </row>
    <row r="108" ht="15.75" customHeight="1">
      <c r="A108" s="1"/>
      <c r="B108" s="126" t="str">
        <f t="shared" ref="B108:D108" si="103">AL108</f>
        <v/>
      </c>
      <c r="C108" s="127" t="str">
        <f t="shared" si="103"/>
        <v/>
      </c>
      <c r="D108" s="128" t="str">
        <f t="shared" si="103"/>
        <v/>
      </c>
      <c r="E108" s="13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01" t="str">
        <f t="shared" si="14"/>
        <v/>
      </c>
      <c r="Z108" s="1"/>
      <c r="AA108" s="1"/>
      <c r="AB108" s="1" t="str">
        <f>IFERROR(VLOOKUP(Z108,'MIS FINANZAS'!$H$7:$J$103,3,0),"")</f>
        <v/>
      </c>
      <c r="AC108" s="1" t="str">
        <f>IFERROR(VLOOKUP(Z108,'MIS FINANZAS'!$H$7:$L$103,5,0),"")</f>
        <v/>
      </c>
      <c r="AD108" s="101" t="str">
        <f t="shared" si="4"/>
        <v/>
      </c>
      <c r="AE108" s="101" t="str">
        <f t="shared" si="5"/>
        <v/>
      </c>
      <c r="AF108" s="1"/>
      <c r="AG108" s="1"/>
      <c r="AH108" s="1" t="str">
        <f>IFERROR(VLOOKUP(AF108,'MIS FINANZAS'!$H$7:$J$103,3,0),"")</f>
        <v/>
      </c>
      <c r="AI108" s="1" t="str">
        <f>IFERROR(VLOOKUP(AF108,'MIS FINANZAS'!$H$7:$L$103,5,0),"")</f>
        <v/>
      </c>
      <c r="AJ108" s="131" t="str">
        <f t="shared" si="6"/>
        <v/>
      </c>
      <c r="AK108" s="101">
        <v>92.0</v>
      </c>
      <c r="AL108" s="131" t="str">
        <f t="shared" si="7"/>
        <v/>
      </c>
      <c r="AM108" s="131" t="str">
        <f t="shared" si="8"/>
        <v/>
      </c>
      <c r="AN108" s="131" t="str">
        <f t="shared" si="9"/>
        <v/>
      </c>
      <c r="AO108" s="131" t="str">
        <f t="shared" si="10"/>
        <v/>
      </c>
      <c r="AP108" s="131" t="str">
        <f t="shared" si="11"/>
        <v/>
      </c>
      <c r="AQ108" s="131" t="str">
        <f t="shared" si="12"/>
        <v/>
      </c>
    </row>
    <row r="109" ht="15.75" customHeight="1">
      <c r="A109" s="1"/>
      <c r="B109" s="126" t="str">
        <f t="shared" ref="B109:D109" si="104">AL109</f>
        <v/>
      </c>
      <c r="C109" s="127" t="str">
        <f t="shared" si="104"/>
        <v/>
      </c>
      <c r="D109" s="128" t="str">
        <f t="shared" si="104"/>
        <v/>
      </c>
      <c r="E109" s="13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01" t="str">
        <f t="shared" si="14"/>
        <v/>
      </c>
      <c r="Z109" s="1"/>
      <c r="AA109" s="1"/>
      <c r="AB109" s="1" t="str">
        <f>IFERROR(VLOOKUP(Z109,'MIS FINANZAS'!$H$7:$J$103,3,0),"")</f>
        <v/>
      </c>
      <c r="AC109" s="1" t="str">
        <f>IFERROR(VLOOKUP(Z109,'MIS FINANZAS'!$H$7:$L$103,5,0),"")</f>
        <v/>
      </c>
      <c r="AD109" s="101" t="str">
        <f t="shared" si="4"/>
        <v/>
      </c>
      <c r="AE109" s="101" t="str">
        <f t="shared" si="5"/>
        <v/>
      </c>
      <c r="AF109" s="1"/>
      <c r="AG109" s="1"/>
      <c r="AH109" s="1" t="str">
        <f>IFERROR(VLOOKUP(AF109,'MIS FINANZAS'!$H$7:$J$103,3,0),"")</f>
        <v/>
      </c>
      <c r="AI109" s="1" t="str">
        <f>IFERROR(VLOOKUP(AF109,'MIS FINANZAS'!$H$7:$L$103,5,0),"")</f>
        <v/>
      </c>
      <c r="AJ109" s="131" t="str">
        <f t="shared" si="6"/>
        <v/>
      </c>
      <c r="AK109" s="101">
        <v>93.0</v>
      </c>
      <c r="AL109" s="131" t="str">
        <f t="shared" si="7"/>
        <v/>
      </c>
      <c r="AM109" s="131" t="str">
        <f t="shared" si="8"/>
        <v/>
      </c>
      <c r="AN109" s="131" t="str">
        <f t="shared" si="9"/>
        <v/>
      </c>
      <c r="AO109" s="131" t="str">
        <f t="shared" si="10"/>
        <v/>
      </c>
      <c r="AP109" s="131" t="str">
        <f t="shared" si="11"/>
        <v/>
      </c>
      <c r="AQ109" s="131" t="str">
        <f t="shared" si="12"/>
        <v/>
      </c>
    </row>
    <row r="110" ht="15.75" customHeight="1">
      <c r="A110" s="1"/>
      <c r="B110" s="126" t="str">
        <f t="shared" ref="B110:D110" si="105">AL110</f>
        <v/>
      </c>
      <c r="C110" s="127" t="str">
        <f t="shared" si="105"/>
        <v/>
      </c>
      <c r="D110" s="128" t="str">
        <f t="shared" si="105"/>
        <v/>
      </c>
      <c r="E110" s="13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01" t="str">
        <f t="shared" si="14"/>
        <v/>
      </c>
      <c r="Z110" s="1"/>
      <c r="AA110" s="1"/>
      <c r="AB110" s="1" t="str">
        <f>IFERROR(VLOOKUP(Z110,'MIS FINANZAS'!$H$7:$J$103,3,0),"")</f>
        <v/>
      </c>
      <c r="AC110" s="1" t="str">
        <f>IFERROR(VLOOKUP(Z110,'MIS FINANZAS'!$H$7:$L$103,5,0),"")</f>
        <v/>
      </c>
      <c r="AD110" s="101" t="str">
        <f t="shared" si="4"/>
        <v/>
      </c>
      <c r="AE110" s="101" t="str">
        <f t="shared" si="5"/>
        <v/>
      </c>
      <c r="AF110" s="1"/>
      <c r="AG110" s="1"/>
      <c r="AH110" s="1" t="str">
        <f>IFERROR(VLOOKUP(AF110,'MIS FINANZAS'!$H$7:$J$103,3,0),"")</f>
        <v/>
      </c>
      <c r="AI110" s="1" t="str">
        <f>IFERROR(VLOOKUP(AF110,'MIS FINANZAS'!$H$7:$L$103,5,0),"")</f>
        <v/>
      </c>
      <c r="AJ110" s="131" t="str">
        <f t="shared" si="6"/>
        <v/>
      </c>
      <c r="AK110" s="101">
        <v>94.0</v>
      </c>
      <c r="AL110" s="131" t="str">
        <f t="shared" si="7"/>
        <v/>
      </c>
      <c r="AM110" s="131" t="str">
        <f t="shared" si="8"/>
        <v/>
      </c>
      <c r="AN110" s="131" t="str">
        <f t="shared" si="9"/>
        <v/>
      </c>
      <c r="AO110" s="131" t="str">
        <f t="shared" si="10"/>
        <v/>
      </c>
      <c r="AP110" s="131" t="str">
        <f t="shared" si="11"/>
        <v/>
      </c>
      <c r="AQ110" s="131" t="str">
        <f t="shared" si="12"/>
        <v/>
      </c>
    </row>
    <row r="111" ht="15.75" customHeight="1">
      <c r="A111" s="1"/>
      <c r="B111" s="126" t="str">
        <f t="shared" ref="B111:D111" si="106">AL111</f>
        <v/>
      </c>
      <c r="C111" s="127" t="str">
        <f t="shared" si="106"/>
        <v/>
      </c>
      <c r="D111" s="128" t="str">
        <f t="shared" si="106"/>
        <v/>
      </c>
      <c r="E111" s="13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01" t="str">
        <f t="shared" si="14"/>
        <v/>
      </c>
      <c r="Z111" s="1"/>
      <c r="AA111" s="1"/>
      <c r="AB111" s="1" t="str">
        <f>IFERROR(VLOOKUP(Z111,'MIS FINANZAS'!$H$7:$J$103,3,0),"")</f>
        <v/>
      </c>
      <c r="AC111" s="1" t="str">
        <f>IFERROR(VLOOKUP(Z111,'MIS FINANZAS'!$H$7:$L$103,5,0),"")</f>
        <v/>
      </c>
      <c r="AD111" s="101" t="str">
        <f t="shared" si="4"/>
        <v/>
      </c>
      <c r="AE111" s="101" t="str">
        <f t="shared" si="5"/>
        <v/>
      </c>
      <c r="AF111" s="1"/>
      <c r="AG111" s="1"/>
      <c r="AH111" s="1" t="str">
        <f>IFERROR(VLOOKUP(AF111,'MIS FINANZAS'!$H$7:$J$103,3,0),"")</f>
        <v/>
      </c>
      <c r="AI111" s="1" t="str">
        <f>IFERROR(VLOOKUP(AF111,'MIS FINANZAS'!$H$7:$L$103,5,0),"")</f>
        <v/>
      </c>
      <c r="AJ111" s="131" t="str">
        <f t="shared" si="6"/>
        <v/>
      </c>
      <c r="AK111" s="101">
        <v>95.0</v>
      </c>
      <c r="AL111" s="131" t="str">
        <f t="shared" si="7"/>
        <v/>
      </c>
      <c r="AM111" s="131" t="str">
        <f t="shared" si="8"/>
        <v/>
      </c>
      <c r="AN111" s="131" t="str">
        <f t="shared" si="9"/>
        <v/>
      </c>
      <c r="AO111" s="131" t="str">
        <f t="shared" si="10"/>
        <v/>
      </c>
      <c r="AP111" s="131" t="str">
        <f t="shared" si="11"/>
        <v/>
      </c>
      <c r="AQ111" s="131" t="str">
        <f t="shared" si="12"/>
        <v/>
      </c>
    </row>
    <row r="112" ht="15.75" customHeight="1">
      <c r="A112" s="1"/>
      <c r="B112" s="126" t="str">
        <f t="shared" ref="B112:D112" si="107">AL112</f>
        <v/>
      </c>
      <c r="C112" s="127" t="str">
        <f t="shared" si="107"/>
        <v/>
      </c>
      <c r="D112" s="128" t="str">
        <f t="shared" si="107"/>
        <v/>
      </c>
      <c r="E112" s="13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01" t="str">
        <f t="shared" si="14"/>
        <v/>
      </c>
      <c r="Z112" s="1"/>
      <c r="AA112" s="1"/>
      <c r="AB112" s="1" t="str">
        <f>IFERROR(VLOOKUP(Z112,'MIS FINANZAS'!$H$7:$J$103,3,0),"")</f>
        <v/>
      </c>
      <c r="AC112" s="1" t="str">
        <f>IFERROR(VLOOKUP(Z112,'MIS FINANZAS'!$H$7:$L$103,5,0),"")</f>
        <v/>
      </c>
      <c r="AD112" s="101" t="str">
        <f t="shared" si="4"/>
        <v/>
      </c>
      <c r="AE112" s="101" t="str">
        <f t="shared" si="5"/>
        <v/>
      </c>
      <c r="AF112" s="1"/>
      <c r="AG112" s="1"/>
      <c r="AH112" s="1" t="str">
        <f>IFERROR(VLOOKUP(AF112,'MIS FINANZAS'!$H$7:$J$103,3,0),"")</f>
        <v/>
      </c>
      <c r="AI112" s="1" t="str">
        <f>IFERROR(VLOOKUP(AF112,'MIS FINANZAS'!$H$7:$L$103,5,0),"")</f>
        <v/>
      </c>
      <c r="AJ112" s="131" t="str">
        <f t="shared" si="6"/>
        <v/>
      </c>
      <c r="AK112" s="101">
        <v>96.0</v>
      </c>
      <c r="AL112" s="131" t="str">
        <f t="shared" si="7"/>
        <v/>
      </c>
      <c r="AM112" s="131" t="str">
        <f t="shared" si="8"/>
        <v/>
      </c>
      <c r="AN112" s="131" t="str">
        <f t="shared" si="9"/>
        <v/>
      </c>
      <c r="AO112" s="131" t="str">
        <f t="shared" si="10"/>
        <v/>
      </c>
      <c r="AP112" s="131" t="str">
        <f t="shared" si="11"/>
        <v/>
      </c>
      <c r="AQ112" s="131" t="str">
        <f t="shared" si="12"/>
        <v/>
      </c>
    </row>
    <row r="113" ht="15.75" customHeight="1">
      <c r="A113" s="1"/>
      <c r="B113" s="126" t="str">
        <f t="shared" ref="B113:D113" si="108">AL113</f>
        <v/>
      </c>
      <c r="C113" s="127" t="str">
        <f t="shared" si="108"/>
        <v/>
      </c>
      <c r="D113" s="128" t="str">
        <f t="shared" si="108"/>
        <v/>
      </c>
      <c r="E113" s="13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01" t="str">
        <f t="shared" si="14"/>
        <v/>
      </c>
      <c r="Z113" s="1"/>
      <c r="AA113" s="1"/>
      <c r="AB113" s="1" t="str">
        <f>IFERROR(VLOOKUP(Z113,'MIS FINANZAS'!$H$7:$J$103,3,0),"")</f>
        <v/>
      </c>
      <c r="AC113" s="1" t="str">
        <f>IFERROR(VLOOKUP(Z113,'MIS FINANZAS'!$H$7:$L$103,5,0),"")</f>
        <v/>
      </c>
      <c r="AD113" s="101" t="str">
        <f t="shared" si="4"/>
        <v/>
      </c>
      <c r="AE113" s="101" t="str">
        <f t="shared" si="5"/>
        <v/>
      </c>
      <c r="AF113" s="1"/>
      <c r="AG113" s="1"/>
      <c r="AH113" s="1" t="str">
        <f>IFERROR(VLOOKUP(AF113,'MIS FINANZAS'!$H$7:$J$103,3,0),"")</f>
        <v/>
      </c>
      <c r="AI113" s="1" t="str">
        <f>IFERROR(VLOOKUP(AF113,'MIS FINANZAS'!$H$7:$L$103,5,0),"")</f>
        <v/>
      </c>
      <c r="AJ113" s="131" t="str">
        <f t="shared" si="6"/>
        <v/>
      </c>
      <c r="AK113" s="101">
        <v>97.0</v>
      </c>
      <c r="AL113" s="131" t="str">
        <f t="shared" si="7"/>
        <v/>
      </c>
      <c r="AM113" s="131" t="str">
        <f t="shared" si="8"/>
        <v/>
      </c>
      <c r="AN113" s="131" t="str">
        <f t="shared" si="9"/>
        <v/>
      </c>
      <c r="AO113" s="131" t="str">
        <f t="shared" si="10"/>
        <v/>
      </c>
      <c r="AP113" s="131" t="str">
        <f t="shared" si="11"/>
        <v/>
      </c>
      <c r="AQ113" s="131" t="str">
        <f t="shared" si="12"/>
        <v/>
      </c>
    </row>
    <row r="114" ht="15.75" customHeight="1">
      <c r="A114" s="1"/>
      <c r="B114" s="126" t="str">
        <f t="shared" ref="B114:D114" si="109">AL114</f>
        <v/>
      </c>
      <c r="C114" s="127" t="str">
        <f t="shared" si="109"/>
        <v/>
      </c>
      <c r="D114" s="128" t="str">
        <f t="shared" si="109"/>
        <v/>
      </c>
      <c r="E114" s="13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01" t="str">
        <f t="shared" si="14"/>
        <v/>
      </c>
      <c r="Z114" s="1"/>
      <c r="AA114" s="1"/>
      <c r="AB114" s="1" t="str">
        <f>IFERROR(VLOOKUP(Z114,'MIS FINANZAS'!$H$7:$J$103,3,0),"")</f>
        <v/>
      </c>
      <c r="AC114" s="1" t="str">
        <f>IFERROR(VLOOKUP(Z114,'MIS FINANZAS'!$H$7:$L$103,5,0),"")</f>
        <v/>
      </c>
      <c r="AD114" s="101" t="str">
        <f t="shared" si="4"/>
        <v/>
      </c>
      <c r="AE114" s="101" t="str">
        <f t="shared" si="5"/>
        <v/>
      </c>
      <c r="AF114" s="1"/>
      <c r="AG114" s="1"/>
      <c r="AH114" s="1" t="str">
        <f>IFERROR(VLOOKUP(AF114,'MIS FINANZAS'!$H$7:$J$103,3,0),"")</f>
        <v/>
      </c>
      <c r="AI114" s="1" t="str">
        <f>IFERROR(VLOOKUP(AF114,'MIS FINANZAS'!$H$7:$L$103,5,0),"")</f>
        <v/>
      </c>
      <c r="AJ114" s="131" t="str">
        <f t="shared" si="6"/>
        <v/>
      </c>
      <c r="AK114" s="101">
        <v>98.0</v>
      </c>
      <c r="AL114" s="131" t="str">
        <f t="shared" si="7"/>
        <v/>
      </c>
      <c r="AM114" s="131" t="str">
        <f t="shared" si="8"/>
        <v/>
      </c>
      <c r="AN114" s="131" t="str">
        <f t="shared" si="9"/>
        <v/>
      </c>
      <c r="AO114" s="131" t="str">
        <f t="shared" si="10"/>
        <v/>
      </c>
      <c r="AP114" s="131" t="str">
        <f t="shared" si="11"/>
        <v/>
      </c>
      <c r="AQ114" s="131" t="str">
        <f t="shared" si="12"/>
        <v/>
      </c>
    </row>
    <row r="115" ht="15.75" customHeight="1">
      <c r="A115" s="1"/>
      <c r="B115" s="126" t="str">
        <f t="shared" ref="B115:D115" si="110">AL115</f>
        <v/>
      </c>
      <c r="C115" s="127" t="str">
        <f t="shared" si="110"/>
        <v/>
      </c>
      <c r="D115" s="128" t="str">
        <f t="shared" si="110"/>
        <v/>
      </c>
      <c r="E115" s="13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01" t="str">
        <f t="shared" si="14"/>
        <v/>
      </c>
      <c r="Z115" s="1"/>
      <c r="AA115" s="1"/>
      <c r="AB115" s="1" t="str">
        <f>IFERROR(VLOOKUP(Z115,'MIS FINANZAS'!$H$7:$J$103,3,0),"")</f>
        <v/>
      </c>
      <c r="AC115" s="1" t="str">
        <f>IFERROR(VLOOKUP(Z115,'MIS FINANZAS'!$H$7:$L$103,5,0),"")</f>
        <v/>
      </c>
      <c r="AD115" s="101" t="str">
        <f t="shared" si="4"/>
        <v/>
      </c>
      <c r="AE115" s="101" t="str">
        <f t="shared" si="5"/>
        <v/>
      </c>
      <c r="AF115" s="1"/>
      <c r="AG115" s="1"/>
      <c r="AH115" s="1" t="str">
        <f>IFERROR(VLOOKUP(AF115,'MIS FINANZAS'!$H$7:$J$103,3,0),"")</f>
        <v/>
      </c>
      <c r="AI115" s="1" t="str">
        <f>IFERROR(VLOOKUP(AF115,'MIS FINANZAS'!$H$7:$L$103,5,0),"")</f>
        <v/>
      </c>
      <c r="AJ115" s="131" t="str">
        <f t="shared" si="6"/>
        <v/>
      </c>
      <c r="AK115" s="101">
        <v>99.0</v>
      </c>
      <c r="AL115" s="131" t="str">
        <f t="shared" si="7"/>
        <v/>
      </c>
      <c r="AM115" s="131" t="str">
        <f t="shared" si="8"/>
        <v/>
      </c>
      <c r="AN115" s="131" t="str">
        <f t="shared" si="9"/>
        <v/>
      </c>
      <c r="AO115" s="131" t="str">
        <f t="shared" si="10"/>
        <v/>
      </c>
      <c r="AP115" s="131" t="str">
        <f t="shared" si="11"/>
        <v/>
      </c>
      <c r="AQ115" s="131" t="str">
        <f t="shared" si="12"/>
        <v/>
      </c>
    </row>
    <row r="116" ht="15.75" customHeight="1">
      <c r="A116" s="1"/>
      <c r="B116" s="126" t="str">
        <f t="shared" ref="B116:D116" si="111">AL116</f>
        <v/>
      </c>
      <c r="C116" s="127" t="str">
        <f t="shared" si="111"/>
        <v/>
      </c>
      <c r="D116" s="128" t="str">
        <f t="shared" si="111"/>
        <v/>
      </c>
      <c r="E116" s="13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01" t="str">
        <f t="shared" si="14"/>
        <v/>
      </c>
      <c r="Z116" s="1"/>
      <c r="AA116" s="1"/>
      <c r="AB116" s="1" t="str">
        <f>IFERROR(VLOOKUP(Z116,'MIS FINANZAS'!$H$7:$J$103,3,0),"")</f>
        <v/>
      </c>
      <c r="AC116" s="1" t="str">
        <f>IFERROR(VLOOKUP(Z116,'MIS FINANZAS'!$H$7:$L$103,5,0),"")</f>
        <v/>
      </c>
      <c r="AD116" s="101" t="str">
        <f t="shared" si="4"/>
        <v/>
      </c>
      <c r="AE116" s="101" t="str">
        <f t="shared" si="5"/>
        <v/>
      </c>
      <c r="AF116" s="1"/>
      <c r="AG116" s="1"/>
      <c r="AH116" s="1" t="str">
        <f>IFERROR(VLOOKUP(AF116,'MIS FINANZAS'!$H$7:$J$103,3,0),"")</f>
        <v/>
      </c>
      <c r="AI116" s="1" t="str">
        <f>IFERROR(VLOOKUP(AF116,'MIS FINANZAS'!$H$7:$L$103,5,0),"")</f>
        <v/>
      </c>
      <c r="AJ116" s="131" t="str">
        <f t="shared" si="6"/>
        <v/>
      </c>
      <c r="AK116" s="101">
        <v>100.0</v>
      </c>
      <c r="AL116" s="131" t="str">
        <f t="shared" si="7"/>
        <v/>
      </c>
      <c r="AM116" s="131" t="str">
        <f t="shared" si="8"/>
        <v/>
      </c>
      <c r="AN116" s="131" t="str">
        <f t="shared" si="9"/>
        <v/>
      </c>
      <c r="AO116" s="131" t="str">
        <f t="shared" si="10"/>
        <v/>
      </c>
      <c r="AP116" s="131" t="str">
        <f t="shared" si="11"/>
        <v/>
      </c>
      <c r="AQ116" s="131" t="str">
        <f t="shared" si="12"/>
        <v/>
      </c>
    </row>
    <row r="117" ht="15.75" customHeight="1">
      <c r="A117" s="1"/>
      <c r="B117" s="126" t="str">
        <f t="shared" ref="B117:D117" si="112">AL117</f>
        <v/>
      </c>
      <c r="C117" s="127" t="str">
        <f t="shared" si="112"/>
        <v/>
      </c>
      <c r="D117" s="128" t="str">
        <f t="shared" si="112"/>
        <v/>
      </c>
      <c r="E117" s="13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01" t="str">
        <f t="shared" si="14"/>
        <v/>
      </c>
      <c r="Z117" s="1"/>
      <c r="AA117" s="1"/>
      <c r="AB117" s="1" t="str">
        <f>IFERROR(VLOOKUP(Z117,'MIS FINANZAS'!$H$7:$J$103,3,0),"")</f>
        <v/>
      </c>
      <c r="AC117" s="1" t="str">
        <f>IFERROR(VLOOKUP(Z117,'MIS FINANZAS'!$H$7:$L$103,5,0),"")</f>
        <v/>
      </c>
      <c r="AD117" s="101" t="str">
        <f t="shared" si="4"/>
        <v/>
      </c>
      <c r="AE117" s="101" t="str">
        <f t="shared" si="5"/>
        <v/>
      </c>
      <c r="AF117" s="1"/>
      <c r="AG117" s="1"/>
      <c r="AH117" s="1" t="str">
        <f>IFERROR(VLOOKUP(AF117,'MIS FINANZAS'!$H$7:$J$103,3,0),"")</f>
        <v/>
      </c>
      <c r="AI117" s="1" t="str">
        <f>IFERROR(VLOOKUP(AF117,'MIS FINANZAS'!$H$7:$L$103,5,0),"")</f>
        <v/>
      </c>
      <c r="AJ117" s="131" t="str">
        <f t="shared" si="6"/>
        <v/>
      </c>
      <c r="AK117" s="101">
        <v>101.0</v>
      </c>
      <c r="AL117" s="131" t="str">
        <f t="shared" si="7"/>
        <v/>
      </c>
      <c r="AM117" s="131" t="str">
        <f t="shared" si="8"/>
        <v/>
      </c>
      <c r="AN117" s="131" t="str">
        <f t="shared" si="9"/>
        <v/>
      </c>
      <c r="AO117" s="131" t="str">
        <f t="shared" si="10"/>
        <v/>
      </c>
      <c r="AP117" s="131" t="str">
        <f t="shared" si="11"/>
        <v/>
      </c>
      <c r="AQ117" s="131" t="str">
        <f t="shared" si="12"/>
        <v/>
      </c>
    </row>
    <row r="118" ht="15.75" customHeight="1">
      <c r="A118" s="1"/>
      <c r="B118" s="133" t="str">
        <f t="shared" ref="B118:D118" si="113">AL118</f>
        <v/>
      </c>
      <c r="C118" s="134" t="str">
        <f t="shared" si="113"/>
        <v/>
      </c>
      <c r="D118" s="135" t="str">
        <f t="shared" si="113"/>
        <v/>
      </c>
      <c r="E118" s="13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01" t="str">
        <f t="shared" si="14"/>
        <v/>
      </c>
      <c r="Z118" s="1"/>
      <c r="AA118" s="1"/>
      <c r="AB118" s="1" t="str">
        <f>IFERROR(VLOOKUP(Z118,'MIS FINANZAS'!$H$7:$J$103,3,0),"")</f>
        <v/>
      </c>
      <c r="AC118" s="1" t="str">
        <f>IFERROR(VLOOKUP(Z118,'MIS FINANZAS'!$H$7:$L$103,5,0),"")</f>
        <v/>
      </c>
      <c r="AD118" s="101" t="str">
        <f t="shared" si="4"/>
        <v/>
      </c>
      <c r="AE118" s="101" t="str">
        <f t="shared" si="5"/>
        <v/>
      </c>
      <c r="AF118" s="1"/>
      <c r="AG118" s="1"/>
      <c r="AH118" s="1" t="str">
        <f>IFERROR(VLOOKUP(AF118,'MIS FINANZAS'!$H$7:$J$103,3,0),"")</f>
        <v/>
      </c>
      <c r="AI118" s="1" t="str">
        <f>IFERROR(VLOOKUP(AF118,'MIS FINANZAS'!$H$7:$L$103,5,0),"")</f>
        <v/>
      </c>
      <c r="AJ118" s="131" t="str">
        <f t="shared" si="6"/>
        <v/>
      </c>
      <c r="AK118" s="101">
        <v>102.0</v>
      </c>
      <c r="AL118" s="131" t="str">
        <f t="shared" si="7"/>
        <v/>
      </c>
      <c r="AM118" s="131" t="str">
        <f t="shared" si="8"/>
        <v/>
      </c>
      <c r="AN118" s="131" t="str">
        <f t="shared" si="9"/>
        <v/>
      </c>
      <c r="AO118" s="131" t="str">
        <f t="shared" si="10"/>
        <v/>
      </c>
      <c r="AP118" s="131" t="str">
        <f t="shared" si="11"/>
        <v/>
      </c>
      <c r="AQ118" s="131" t="str">
        <f t="shared" si="12"/>
        <v/>
      </c>
    </row>
    <row r="119" ht="15.75" customHeight="1">
      <c r="A119" s="1"/>
      <c r="B119" s="7"/>
      <c r="C119" s="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02"/>
      <c r="AK119" s="1"/>
      <c r="AL119" s="102"/>
      <c r="AM119" s="102"/>
      <c r="AN119" s="102"/>
      <c r="AO119" s="102"/>
      <c r="AP119" s="102"/>
      <c r="AQ119" s="10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02"/>
      <c r="AK120" s="1"/>
      <c r="AL120" s="102"/>
      <c r="AM120" s="102"/>
      <c r="AN120" s="102"/>
      <c r="AO120" s="102"/>
      <c r="AP120" s="102"/>
      <c r="AQ120" s="10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02"/>
      <c r="AK121" s="1"/>
      <c r="AL121" s="102"/>
      <c r="AM121" s="102"/>
      <c r="AN121" s="102"/>
      <c r="AO121" s="102"/>
      <c r="AP121" s="102"/>
      <c r="AQ121" s="10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02"/>
      <c r="AK122" s="1"/>
      <c r="AL122" s="102"/>
      <c r="AM122" s="102"/>
      <c r="AN122" s="102"/>
      <c r="AO122" s="102"/>
      <c r="AP122" s="102"/>
      <c r="AQ122" s="10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02"/>
      <c r="AK123" s="1"/>
      <c r="AL123" s="102"/>
      <c r="AM123" s="102"/>
      <c r="AN123" s="102"/>
      <c r="AO123" s="102"/>
      <c r="AP123" s="102"/>
      <c r="AQ123" s="10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02"/>
      <c r="AK124" s="1"/>
      <c r="AL124" s="102"/>
      <c r="AM124" s="102"/>
      <c r="AN124" s="102"/>
      <c r="AO124" s="102"/>
      <c r="AP124" s="102"/>
      <c r="AQ124" s="10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02"/>
      <c r="AK125" s="1"/>
      <c r="AL125" s="102"/>
      <c r="AM125" s="102"/>
      <c r="AN125" s="102"/>
      <c r="AO125" s="102"/>
      <c r="AP125" s="102"/>
      <c r="AQ125" s="10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02"/>
      <c r="AK126" s="1"/>
      <c r="AL126" s="102"/>
      <c r="AM126" s="102"/>
      <c r="AN126" s="102"/>
      <c r="AO126" s="102"/>
      <c r="AP126" s="102"/>
      <c r="AQ126" s="10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02"/>
      <c r="AK127" s="1"/>
      <c r="AL127" s="102"/>
      <c r="AM127" s="102"/>
      <c r="AN127" s="102"/>
      <c r="AO127" s="102"/>
      <c r="AP127" s="102"/>
      <c r="AQ127" s="10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02"/>
      <c r="AK128" s="1"/>
      <c r="AL128" s="102"/>
      <c r="AM128" s="102"/>
      <c r="AN128" s="102"/>
      <c r="AO128" s="102"/>
      <c r="AP128" s="102"/>
      <c r="AQ128" s="10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02"/>
      <c r="AK129" s="1"/>
      <c r="AL129" s="102"/>
      <c r="AM129" s="102"/>
      <c r="AN129" s="102"/>
      <c r="AO129" s="102"/>
      <c r="AP129" s="102"/>
      <c r="AQ129" s="10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02"/>
      <c r="AK130" s="1"/>
      <c r="AL130" s="102"/>
      <c r="AM130" s="102"/>
      <c r="AN130" s="102"/>
      <c r="AO130" s="102"/>
      <c r="AP130" s="102"/>
      <c r="AQ130" s="10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02"/>
      <c r="AK131" s="1"/>
      <c r="AL131" s="102"/>
      <c r="AM131" s="102"/>
      <c r="AN131" s="102"/>
      <c r="AO131" s="102"/>
      <c r="AP131" s="102"/>
      <c r="AQ131" s="10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02"/>
      <c r="AK132" s="1"/>
      <c r="AL132" s="102"/>
      <c r="AM132" s="102"/>
      <c r="AN132" s="102"/>
      <c r="AO132" s="102"/>
      <c r="AP132" s="102"/>
      <c r="AQ132" s="10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02"/>
      <c r="AK133" s="1"/>
      <c r="AL133" s="102"/>
      <c r="AM133" s="102"/>
      <c r="AN133" s="102"/>
      <c r="AO133" s="102"/>
      <c r="AP133" s="102"/>
      <c r="AQ133" s="10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02"/>
      <c r="AK134" s="1"/>
      <c r="AL134" s="102"/>
      <c r="AM134" s="102"/>
      <c r="AN134" s="102"/>
      <c r="AO134" s="102"/>
      <c r="AP134" s="102"/>
      <c r="AQ134" s="10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02"/>
      <c r="AK135" s="1"/>
      <c r="AL135" s="102"/>
      <c r="AM135" s="102"/>
      <c r="AN135" s="102"/>
      <c r="AO135" s="102"/>
      <c r="AP135" s="102"/>
      <c r="AQ135" s="10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02"/>
      <c r="AK136" s="1"/>
      <c r="AL136" s="102"/>
      <c r="AM136" s="102"/>
      <c r="AN136" s="102"/>
      <c r="AO136" s="102"/>
      <c r="AP136" s="102"/>
      <c r="AQ136" s="10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02"/>
      <c r="AK137" s="1"/>
      <c r="AL137" s="102"/>
      <c r="AM137" s="102"/>
      <c r="AN137" s="102"/>
      <c r="AO137" s="102"/>
      <c r="AP137" s="102"/>
      <c r="AQ137" s="10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02"/>
      <c r="AK138" s="1"/>
      <c r="AL138" s="102"/>
      <c r="AM138" s="102"/>
      <c r="AN138" s="102"/>
      <c r="AO138" s="102"/>
      <c r="AP138" s="102"/>
      <c r="AQ138" s="10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02"/>
      <c r="AK139" s="1"/>
      <c r="AL139" s="102"/>
      <c r="AM139" s="102"/>
      <c r="AN139" s="102"/>
      <c r="AO139" s="102"/>
      <c r="AP139" s="102"/>
      <c r="AQ139" s="10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02"/>
      <c r="AK140" s="1"/>
      <c r="AL140" s="102"/>
      <c r="AM140" s="102"/>
      <c r="AN140" s="102"/>
      <c r="AO140" s="102"/>
      <c r="AP140" s="102"/>
      <c r="AQ140" s="10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02"/>
      <c r="AK141" s="1"/>
      <c r="AL141" s="102"/>
      <c r="AM141" s="102"/>
      <c r="AN141" s="102"/>
      <c r="AO141" s="102"/>
      <c r="AP141" s="102"/>
      <c r="AQ141" s="10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02"/>
      <c r="AK142" s="1"/>
      <c r="AL142" s="102"/>
      <c r="AM142" s="102"/>
      <c r="AN142" s="102"/>
      <c r="AO142" s="102"/>
      <c r="AP142" s="102"/>
      <c r="AQ142" s="10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02"/>
      <c r="AK143" s="1"/>
      <c r="AL143" s="102"/>
      <c r="AM143" s="102"/>
      <c r="AN143" s="102"/>
      <c r="AO143" s="102"/>
      <c r="AP143" s="102"/>
      <c r="AQ143" s="10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02"/>
      <c r="AK144" s="1"/>
      <c r="AL144" s="102"/>
      <c r="AM144" s="102"/>
      <c r="AN144" s="102"/>
      <c r="AO144" s="102"/>
      <c r="AP144" s="102"/>
      <c r="AQ144" s="10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02"/>
      <c r="AK145" s="1"/>
      <c r="AL145" s="102"/>
      <c r="AM145" s="102"/>
      <c r="AN145" s="102"/>
      <c r="AO145" s="102"/>
      <c r="AP145" s="102"/>
      <c r="AQ145" s="10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02"/>
      <c r="AK146" s="1"/>
      <c r="AL146" s="102"/>
      <c r="AM146" s="102"/>
      <c r="AN146" s="102"/>
      <c r="AO146" s="102"/>
      <c r="AP146" s="102"/>
      <c r="AQ146" s="10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02"/>
      <c r="AK147" s="1"/>
      <c r="AL147" s="102"/>
      <c r="AM147" s="102"/>
      <c r="AN147" s="102"/>
      <c r="AO147" s="102"/>
      <c r="AP147" s="102"/>
      <c r="AQ147" s="10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02"/>
      <c r="AK148" s="1"/>
      <c r="AL148" s="102"/>
      <c r="AM148" s="102"/>
      <c r="AN148" s="102"/>
      <c r="AO148" s="102"/>
      <c r="AP148" s="102"/>
      <c r="AQ148" s="10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02"/>
      <c r="AK149" s="1"/>
      <c r="AL149" s="102"/>
      <c r="AM149" s="102"/>
      <c r="AN149" s="102"/>
      <c r="AO149" s="102"/>
      <c r="AP149" s="102"/>
      <c r="AQ149" s="10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02"/>
      <c r="AK150" s="1"/>
      <c r="AL150" s="102"/>
      <c r="AM150" s="102"/>
      <c r="AN150" s="102"/>
      <c r="AO150" s="102"/>
      <c r="AP150" s="102"/>
      <c r="AQ150" s="10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02"/>
      <c r="AK151" s="1"/>
      <c r="AL151" s="102"/>
      <c r="AM151" s="102"/>
      <c r="AN151" s="102"/>
      <c r="AO151" s="102"/>
      <c r="AP151" s="102"/>
      <c r="AQ151" s="10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02"/>
      <c r="AK152" s="1"/>
      <c r="AL152" s="102"/>
      <c r="AM152" s="102"/>
      <c r="AN152" s="102"/>
      <c r="AO152" s="102"/>
      <c r="AP152" s="102"/>
      <c r="AQ152" s="10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02"/>
      <c r="AK153" s="1"/>
      <c r="AL153" s="102"/>
      <c r="AM153" s="102"/>
      <c r="AN153" s="102"/>
      <c r="AO153" s="102"/>
      <c r="AP153" s="102"/>
      <c r="AQ153" s="10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02"/>
      <c r="AK154" s="1"/>
      <c r="AL154" s="102"/>
      <c r="AM154" s="102"/>
      <c r="AN154" s="102"/>
      <c r="AO154" s="102"/>
      <c r="AP154" s="102"/>
      <c r="AQ154" s="10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02"/>
      <c r="AK155" s="1"/>
      <c r="AL155" s="102"/>
      <c r="AM155" s="102"/>
      <c r="AN155" s="102"/>
      <c r="AO155" s="102"/>
      <c r="AP155" s="102"/>
      <c r="AQ155" s="10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02"/>
      <c r="AK156" s="1"/>
      <c r="AL156" s="102"/>
      <c r="AM156" s="102"/>
      <c r="AN156" s="102"/>
      <c r="AO156" s="102"/>
      <c r="AP156" s="102"/>
      <c r="AQ156" s="10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02"/>
      <c r="AK157" s="1"/>
      <c r="AL157" s="102"/>
      <c r="AM157" s="102"/>
      <c r="AN157" s="102"/>
      <c r="AO157" s="102"/>
      <c r="AP157" s="102"/>
      <c r="AQ157" s="10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02"/>
      <c r="AK158" s="1"/>
      <c r="AL158" s="102"/>
      <c r="AM158" s="102"/>
      <c r="AN158" s="102"/>
      <c r="AO158" s="102"/>
      <c r="AP158" s="102"/>
      <c r="AQ158" s="10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02"/>
      <c r="AK159" s="1"/>
      <c r="AL159" s="102"/>
      <c r="AM159" s="102"/>
      <c r="AN159" s="102"/>
      <c r="AO159" s="102"/>
      <c r="AP159" s="102"/>
      <c r="AQ159" s="10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02"/>
      <c r="AK160" s="1"/>
      <c r="AL160" s="102"/>
      <c r="AM160" s="102"/>
      <c r="AN160" s="102"/>
      <c r="AO160" s="102"/>
      <c r="AP160" s="102"/>
      <c r="AQ160" s="10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02"/>
      <c r="AK161" s="1"/>
      <c r="AL161" s="102"/>
      <c r="AM161" s="102"/>
      <c r="AN161" s="102"/>
      <c r="AO161" s="102"/>
      <c r="AP161" s="102"/>
      <c r="AQ161" s="10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02"/>
      <c r="AK162" s="1"/>
      <c r="AL162" s="102"/>
      <c r="AM162" s="102"/>
      <c r="AN162" s="102"/>
      <c r="AO162" s="102"/>
      <c r="AP162" s="102"/>
      <c r="AQ162" s="10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02"/>
      <c r="AK163" s="1"/>
      <c r="AL163" s="102"/>
      <c r="AM163" s="102"/>
      <c r="AN163" s="102"/>
      <c r="AO163" s="102"/>
      <c r="AP163" s="102"/>
      <c r="AQ163" s="10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02"/>
      <c r="AK164" s="1"/>
      <c r="AL164" s="102"/>
      <c r="AM164" s="102"/>
      <c r="AN164" s="102"/>
      <c r="AO164" s="102"/>
      <c r="AP164" s="102"/>
      <c r="AQ164" s="10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02"/>
      <c r="AK165" s="1"/>
      <c r="AL165" s="102"/>
      <c r="AM165" s="102"/>
      <c r="AN165" s="102"/>
      <c r="AO165" s="102"/>
      <c r="AP165" s="102"/>
      <c r="AQ165" s="10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02"/>
      <c r="AK166" s="1"/>
      <c r="AL166" s="102"/>
      <c r="AM166" s="102"/>
      <c r="AN166" s="102"/>
      <c r="AO166" s="102"/>
      <c r="AP166" s="102"/>
      <c r="AQ166" s="10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02"/>
      <c r="AK167" s="1"/>
      <c r="AL167" s="102"/>
      <c r="AM167" s="102"/>
      <c r="AN167" s="102"/>
      <c r="AO167" s="102"/>
      <c r="AP167" s="102"/>
      <c r="AQ167" s="10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02"/>
      <c r="AK168" s="1"/>
      <c r="AL168" s="102"/>
      <c r="AM168" s="102"/>
      <c r="AN168" s="102"/>
      <c r="AO168" s="102"/>
      <c r="AP168" s="102"/>
      <c r="AQ168" s="10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02"/>
      <c r="AK169" s="1"/>
      <c r="AL169" s="102"/>
      <c r="AM169" s="102"/>
      <c r="AN169" s="102"/>
      <c r="AO169" s="102"/>
      <c r="AP169" s="102"/>
      <c r="AQ169" s="10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02"/>
      <c r="AK170" s="1"/>
      <c r="AL170" s="102"/>
      <c r="AM170" s="102"/>
      <c r="AN170" s="102"/>
      <c r="AO170" s="102"/>
      <c r="AP170" s="102"/>
      <c r="AQ170" s="10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02"/>
      <c r="AK171" s="1"/>
      <c r="AL171" s="102"/>
      <c r="AM171" s="102"/>
      <c r="AN171" s="102"/>
      <c r="AO171" s="102"/>
      <c r="AP171" s="102"/>
      <c r="AQ171" s="10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02"/>
      <c r="AK172" s="1"/>
      <c r="AL172" s="102"/>
      <c r="AM172" s="102"/>
      <c r="AN172" s="102"/>
      <c r="AO172" s="102"/>
      <c r="AP172" s="102"/>
      <c r="AQ172" s="10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02"/>
      <c r="AK173" s="1"/>
      <c r="AL173" s="102"/>
      <c r="AM173" s="102"/>
      <c r="AN173" s="102"/>
      <c r="AO173" s="102"/>
      <c r="AP173" s="102"/>
      <c r="AQ173" s="10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02"/>
      <c r="AK174" s="1"/>
      <c r="AL174" s="102"/>
      <c r="AM174" s="102"/>
      <c r="AN174" s="102"/>
      <c r="AO174" s="102"/>
      <c r="AP174" s="102"/>
      <c r="AQ174" s="10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02"/>
      <c r="AK175" s="1"/>
      <c r="AL175" s="102"/>
      <c r="AM175" s="102"/>
      <c r="AN175" s="102"/>
      <c r="AO175" s="102"/>
      <c r="AP175" s="102"/>
      <c r="AQ175" s="10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02"/>
      <c r="AK176" s="1"/>
      <c r="AL176" s="102"/>
      <c r="AM176" s="102"/>
      <c r="AN176" s="102"/>
      <c r="AO176" s="102"/>
      <c r="AP176" s="102"/>
      <c r="AQ176" s="10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02"/>
      <c r="AK177" s="1"/>
      <c r="AL177" s="102"/>
      <c r="AM177" s="102"/>
      <c r="AN177" s="102"/>
      <c r="AO177" s="102"/>
      <c r="AP177" s="102"/>
      <c r="AQ177" s="10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02"/>
      <c r="AK178" s="1"/>
      <c r="AL178" s="102"/>
      <c r="AM178" s="102"/>
      <c r="AN178" s="102"/>
      <c r="AO178" s="102"/>
      <c r="AP178" s="102"/>
      <c r="AQ178" s="10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02"/>
      <c r="AK179" s="1"/>
      <c r="AL179" s="102"/>
      <c r="AM179" s="102"/>
      <c r="AN179" s="102"/>
      <c r="AO179" s="102"/>
      <c r="AP179" s="102"/>
      <c r="AQ179" s="10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02"/>
      <c r="AK180" s="1"/>
      <c r="AL180" s="102"/>
      <c r="AM180" s="102"/>
      <c r="AN180" s="102"/>
      <c r="AO180" s="102"/>
      <c r="AP180" s="102"/>
      <c r="AQ180" s="10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02"/>
      <c r="AK181" s="1"/>
      <c r="AL181" s="102"/>
      <c r="AM181" s="102"/>
      <c r="AN181" s="102"/>
      <c r="AO181" s="102"/>
      <c r="AP181" s="102"/>
      <c r="AQ181" s="10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02"/>
      <c r="AK182" s="1"/>
      <c r="AL182" s="102"/>
      <c r="AM182" s="102"/>
      <c r="AN182" s="102"/>
      <c r="AO182" s="102"/>
      <c r="AP182" s="102"/>
      <c r="AQ182" s="10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02"/>
      <c r="AK183" s="1"/>
      <c r="AL183" s="102"/>
      <c r="AM183" s="102"/>
      <c r="AN183" s="102"/>
      <c r="AO183" s="102"/>
      <c r="AP183" s="102"/>
      <c r="AQ183" s="10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02"/>
      <c r="AK184" s="1"/>
      <c r="AL184" s="102"/>
      <c r="AM184" s="102"/>
      <c r="AN184" s="102"/>
      <c r="AO184" s="102"/>
      <c r="AP184" s="102"/>
      <c r="AQ184" s="10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02"/>
      <c r="AK185" s="1"/>
      <c r="AL185" s="102"/>
      <c r="AM185" s="102"/>
      <c r="AN185" s="102"/>
      <c r="AO185" s="102"/>
      <c r="AP185" s="102"/>
      <c r="AQ185" s="10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02"/>
      <c r="AK186" s="1"/>
      <c r="AL186" s="102"/>
      <c r="AM186" s="102"/>
      <c r="AN186" s="102"/>
      <c r="AO186" s="102"/>
      <c r="AP186" s="102"/>
      <c r="AQ186" s="10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02"/>
      <c r="AK187" s="1"/>
      <c r="AL187" s="102"/>
      <c r="AM187" s="102"/>
      <c r="AN187" s="102"/>
      <c r="AO187" s="102"/>
      <c r="AP187" s="102"/>
      <c r="AQ187" s="10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02"/>
      <c r="AK188" s="1"/>
      <c r="AL188" s="102"/>
      <c r="AM188" s="102"/>
      <c r="AN188" s="102"/>
      <c r="AO188" s="102"/>
      <c r="AP188" s="102"/>
      <c r="AQ188" s="10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02"/>
      <c r="AK189" s="1"/>
      <c r="AL189" s="102"/>
      <c r="AM189" s="102"/>
      <c r="AN189" s="102"/>
      <c r="AO189" s="102"/>
      <c r="AP189" s="102"/>
      <c r="AQ189" s="10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02"/>
      <c r="AK190" s="1"/>
      <c r="AL190" s="102"/>
      <c r="AM190" s="102"/>
      <c r="AN190" s="102"/>
      <c r="AO190" s="102"/>
      <c r="AP190" s="102"/>
      <c r="AQ190" s="10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02"/>
      <c r="AK191" s="1"/>
      <c r="AL191" s="102"/>
      <c r="AM191" s="102"/>
      <c r="AN191" s="102"/>
      <c r="AO191" s="102"/>
      <c r="AP191" s="102"/>
      <c r="AQ191" s="10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02"/>
      <c r="AK192" s="1"/>
      <c r="AL192" s="102"/>
      <c r="AM192" s="102"/>
      <c r="AN192" s="102"/>
      <c r="AO192" s="102"/>
      <c r="AP192" s="102"/>
      <c r="AQ192" s="10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02"/>
      <c r="AK193" s="1"/>
      <c r="AL193" s="102"/>
      <c r="AM193" s="102"/>
      <c r="AN193" s="102"/>
      <c r="AO193" s="102"/>
      <c r="AP193" s="102"/>
      <c r="AQ193" s="10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02"/>
      <c r="AK194" s="1"/>
      <c r="AL194" s="102"/>
      <c r="AM194" s="102"/>
      <c r="AN194" s="102"/>
      <c r="AO194" s="102"/>
      <c r="AP194" s="102"/>
      <c r="AQ194" s="10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02"/>
      <c r="AK195" s="1"/>
      <c r="AL195" s="102"/>
      <c r="AM195" s="102"/>
      <c r="AN195" s="102"/>
      <c r="AO195" s="102"/>
      <c r="AP195" s="102"/>
      <c r="AQ195" s="10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02"/>
      <c r="AK196" s="1"/>
      <c r="AL196" s="102"/>
      <c r="AM196" s="102"/>
      <c r="AN196" s="102"/>
      <c r="AO196" s="102"/>
      <c r="AP196" s="102"/>
      <c r="AQ196" s="10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02"/>
      <c r="AK197" s="1"/>
      <c r="AL197" s="102"/>
      <c r="AM197" s="102"/>
      <c r="AN197" s="102"/>
      <c r="AO197" s="102"/>
      <c r="AP197" s="102"/>
      <c r="AQ197" s="10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02"/>
      <c r="AK198" s="1"/>
      <c r="AL198" s="102"/>
      <c r="AM198" s="102"/>
      <c r="AN198" s="102"/>
      <c r="AO198" s="102"/>
      <c r="AP198" s="102"/>
      <c r="AQ198" s="10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02"/>
      <c r="AK199" s="1"/>
      <c r="AL199" s="102"/>
      <c r="AM199" s="102"/>
      <c r="AN199" s="102"/>
      <c r="AO199" s="102"/>
      <c r="AP199" s="102"/>
      <c r="AQ199" s="10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02"/>
      <c r="AK200" s="1"/>
      <c r="AL200" s="102"/>
      <c r="AM200" s="102"/>
      <c r="AN200" s="102"/>
      <c r="AO200" s="102"/>
      <c r="AP200" s="102"/>
      <c r="AQ200" s="10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02"/>
      <c r="AK201" s="1"/>
      <c r="AL201" s="102"/>
      <c r="AM201" s="102"/>
      <c r="AN201" s="102"/>
      <c r="AO201" s="102"/>
      <c r="AP201" s="102"/>
      <c r="AQ201" s="10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02"/>
      <c r="AK202" s="1"/>
      <c r="AL202" s="102"/>
      <c r="AM202" s="102"/>
      <c r="AN202" s="102"/>
      <c r="AO202" s="102"/>
      <c r="AP202" s="102"/>
      <c r="AQ202" s="10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02"/>
      <c r="AK203" s="1"/>
      <c r="AL203" s="102"/>
      <c r="AM203" s="102"/>
      <c r="AN203" s="102"/>
      <c r="AO203" s="102"/>
      <c r="AP203" s="102"/>
      <c r="AQ203" s="10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02"/>
      <c r="AK204" s="1"/>
      <c r="AL204" s="102"/>
      <c r="AM204" s="102"/>
      <c r="AN204" s="102"/>
      <c r="AO204" s="102"/>
      <c r="AP204" s="102"/>
      <c r="AQ204" s="10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02"/>
      <c r="AK205" s="1"/>
      <c r="AL205" s="102"/>
      <c r="AM205" s="102"/>
      <c r="AN205" s="102"/>
      <c r="AO205" s="102"/>
      <c r="AP205" s="102"/>
      <c r="AQ205" s="10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02"/>
      <c r="AK206" s="1"/>
      <c r="AL206" s="102"/>
      <c r="AM206" s="102"/>
      <c r="AN206" s="102"/>
      <c r="AO206" s="102"/>
      <c r="AP206" s="102"/>
      <c r="AQ206" s="10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02"/>
      <c r="AK207" s="1"/>
      <c r="AL207" s="102"/>
      <c r="AM207" s="102"/>
      <c r="AN207" s="102"/>
      <c r="AO207" s="102"/>
      <c r="AP207" s="102"/>
      <c r="AQ207" s="10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02"/>
      <c r="AK208" s="1"/>
      <c r="AL208" s="102"/>
      <c r="AM208" s="102"/>
      <c r="AN208" s="102"/>
      <c r="AO208" s="102"/>
      <c r="AP208" s="102"/>
      <c r="AQ208" s="10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02"/>
      <c r="AK209" s="1"/>
      <c r="AL209" s="102"/>
      <c r="AM209" s="102"/>
      <c r="AN209" s="102"/>
      <c r="AO209" s="102"/>
      <c r="AP209" s="102"/>
      <c r="AQ209" s="10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02"/>
      <c r="AK210" s="1"/>
      <c r="AL210" s="102"/>
      <c r="AM210" s="102"/>
      <c r="AN210" s="102"/>
      <c r="AO210" s="102"/>
      <c r="AP210" s="102"/>
      <c r="AQ210" s="10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02"/>
      <c r="AK211" s="1"/>
      <c r="AL211" s="102"/>
      <c r="AM211" s="102"/>
      <c r="AN211" s="102"/>
      <c r="AO211" s="102"/>
      <c r="AP211" s="102"/>
      <c r="AQ211" s="10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02"/>
      <c r="AK212" s="1"/>
      <c r="AL212" s="102"/>
      <c r="AM212" s="102"/>
      <c r="AN212" s="102"/>
      <c r="AO212" s="102"/>
      <c r="AP212" s="102"/>
      <c r="AQ212" s="10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02"/>
      <c r="AK213" s="1"/>
      <c r="AL213" s="102"/>
      <c r="AM213" s="102"/>
      <c r="AN213" s="102"/>
      <c r="AO213" s="102"/>
      <c r="AP213" s="102"/>
      <c r="AQ213" s="10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02"/>
      <c r="AK214" s="1"/>
      <c r="AL214" s="102"/>
      <c r="AM214" s="102"/>
      <c r="AN214" s="102"/>
      <c r="AO214" s="102"/>
      <c r="AP214" s="102"/>
      <c r="AQ214" s="10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02"/>
      <c r="AK215" s="1"/>
      <c r="AL215" s="102"/>
      <c r="AM215" s="102"/>
      <c r="AN215" s="102"/>
      <c r="AO215" s="102"/>
      <c r="AP215" s="102"/>
      <c r="AQ215" s="10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02"/>
      <c r="AK216" s="1"/>
      <c r="AL216" s="102"/>
      <c r="AM216" s="102"/>
      <c r="AN216" s="102"/>
      <c r="AO216" s="102"/>
      <c r="AP216" s="102"/>
      <c r="AQ216" s="10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02"/>
      <c r="AK217" s="1"/>
      <c r="AL217" s="102"/>
      <c r="AM217" s="102"/>
      <c r="AN217" s="102"/>
      <c r="AO217" s="102"/>
      <c r="AP217" s="102"/>
      <c r="AQ217" s="10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02"/>
      <c r="AK218" s="1"/>
      <c r="AL218" s="102"/>
      <c r="AM218" s="102"/>
      <c r="AN218" s="102"/>
      <c r="AO218" s="102"/>
      <c r="AP218" s="102"/>
      <c r="AQ218" s="10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02"/>
      <c r="AK219" s="1"/>
      <c r="AL219" s="102"/>
      <c r="AM219" s="102"/>
      <c r="AN219" s="102"/>
      <c r="AO219" s="102"/>
      <c r="AP219" s="102"/>
      <c r="AQ219" s="10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02"/>
      <c r="AK220" s="1"/>
      <c r="AL220" s="102"/>
      <c r="AM220" s="102"/>
      <c r="AN220" s="102"/>
      <c r="AO220" s="102"/>
      <c r="AP220" s="102"/>
      <c r="AQ220" s="10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02"/>
      <c r="AK221" s="1"/>
      <c r="AL221" s="102"/>
      <c r="AM221" s="102"/>
      <c r="AN221" s="102"/>
      <c r="AO221" s="102"/>
      <c r="AP221" s="102"/>
      <c r="AQ221" s="10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02"/>
      <c r="AK222" s="1"/>
      <c r="AL222" s="102"/>
      <c r="AM222" s="102"/>
      <c r="AN222" s="102"/>
      <c r="AO222" s="102"/>
      <c r="AP222" s="102"/>
      <c r="AQ222" s="10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02"/>
      <c r="AK223" s="1"/>
      <c r="AL223" s="102"/>
      <c r="AM223" s="102"/>
      <c r="AN223" s="102"/>
      <c r="AO223" s="102"/>
      <c r="AP223" s="102"/>
      <c r="AQ223" s="10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02"/>
      <c r="AK224" s="1"/>
      <c r="AL224" s="102"/>
      <c r="AM224" s="102"/>
      <c r="AN224" s="102"/>
      <c r="AO224" s="102"/>
      <c r="AP224" s="102"/>
      <c r="AQ224" s="10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02"/>
      <c r="AK225" s="1"/>
      <c r="AL225" s="102"/>
      <c r="AM225" s="102"/>
      <c r="AN225" s="102"/>
      <c r="AO225" s="102"/>
      <c r="AP225" s="102"/>
      <c r="AQ225" s="10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02"/>
      <c r="AK226" s="1"/>
      <c r="AL226" s="102"/>
      <c r="AM226" s="102"/>
      <c r="AN226" s="102"/>
      <c r="AO226" s="102"/>
      <c r="AP226" s="102"/>
      <c r="AQ226" s="10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02"/>
      <c r="AK227" s="1"/>
      <c r="AL227" s="102"/>
      <c r="AM227" s="102"/>
      <c r="AN227" s="102"/>
      <c r="AO227" s="102"/>
      <c r="AP227" s="102"/>
      <c r="AQ227" s="10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02"/>
      <c r="AK228" s="1"/>
      <c r="AL228" s="102"/>
      <c r="AM228" s="102"/>
      <c r="AN228" s="102"/>
      <c r="AO228" s="102"/>
      <c r="AP228" s="102"/>
      <c r="AQ228" s="10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02"/>
      <c r="AK229" s="1"/>
      <c r="AL229" s="102"/>
      <c r="AM229" s="102"/>
      <c r="AN229" s="102"/>
      <c r="AO229" s="102"/>
      <c r="AP229" s="102"/>
      <c r="AQ229" s="10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02"/>
      <c r="AK230" s="1"/>
      <c r="AL230" s="102"/>
      <c r="AM230" s="102"/>
      <c r="AN230" s="102"/>
      <c r="AO230" s="102"/>
      <c r="AP230" s="102"/>
      <c r="AQ230" s="10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02"/>
      <c r="AK231" s="1"/>
      <c r="AL231" s="102"/>
      <c r="AM231" s="102"/>
      <c r="AN231" s="102"/>
      <c r="AO231" s="102"/>
      <c r="AP231" s="102"/>
      <c r="AQ231" s="10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02"/>
      <c r="AK232" s="1"/>
      <c r="AL232" s="102"/>
      <c r="AM232" s="102"/>
      <c r="AN232" s="102"/>
      <c r="AO232" s="102"/>
      <c r="AP232" s="102"/>
      <c r="AQ232" s="10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02"/>
      <c r="AK233" s="1"/>
      <c r="AL233" s="102"/>
      <c r="AM233" s="102"/>
      <c r="AN233" s="102"/>
      <c r="AO233" s="102"/>
      <c r="AP233" s="102"/>
      <c r="AQ233" s="10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02"/>
      <c r="AK234" s="1"/>
      <c r="AL234" s="102"/>
      <c r="AM234" s="102"/>
      <c r="AN234" s="102"/>
      <c r="AO234" s="102"/>
      <c r="AP234" s="102"/>
      <c r="AQ234" s="10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02"/>
      <c r="AK235" s="1"/>
      <c r="AL235" s="102"/>
      <c r="AM235" s="102"/>
      <c r="AN235" s="102"/>
      <c r="AO235" s="102"/>
      <c r="AP235" s="102"/>
      <c r="AQ235" s="10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02"/>
      <c r="AK236" s="1"/>
      <c r="AL236" s="102"/>
      <c r="AM236" s="102"/>
      <c r="AN236" s="102"/>
      <c r="AO236" s="102"/>
      <c r="AP236" s="102"/>
      <c r="AQ236" s="10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02"/>
      <c r="AK237" s="1"/>
      <c r="AL237" s="102"/>
      <c r="AM237" s="102"/>
      <c r="AN237" s="102"/>
      <c r="AO237" s="102"/>
      <c r="AP237" s="102"/>
      <c r="AQ237" s="10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02"/>
      <c r="AK238" s="1"/>
      <c r="AL238" s="102"/>
      <c r="AM238" s="102"/>
      <c r="AN238" s="102"/>
      <c r="AO238" s="102"/>
      <c r="AP238" s="102"/>
      <c r="AQ238" s="10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02"/>
      <c r="AK239" s="1"/>
      <c r="AL239" s="102"/>
      <c r="AM239" s="102"/>
      <c r="AN239" s="102"/>
      <c r="AO239" s="102"/>
      <c r="AP239" s="102"/>
      <c r="AQ239" s="10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02"/>
      <c r="AK240" s="1"/>
      <c r="AL240" s="102"/>
      <c r="AM240" s="102"/>
      <c r="AN240" s="102"/>
      <c r="AO240" s="102"/>
      <c r="AP240" s="102"/>
      <c r="AQ240" s="10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02"/>
      <c r="AK241" s="1"/>
      <c r="AL241" s="102"/>
      <c r="AM241" s="102"/>
      <c r="AN241" s="102"/>
      <c r="AO241" s="102"/>
      <c r="AP241" s="102"/>
      <c r="AQ241" s="10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02"/>
      <c r="AK242" s="1"/>
      <c r="AL242" s="102"/>
      <c r="AM242" s="102"/>
      <c r="AN242" s="102"/>
      <c r="AO242" s="102"/>
      <c r="AP242" s="102"/>
      <c r="AQ242" s="10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02"/>
      <c r="AK243" s="1"/>
      <c r="AL243" s="102"/>
      <c r="AM243" s="102"/>
      <c r="AN243" s="102"/>
      <c r="AO243" s="102"/>
      <c r="AP243" s="102"/>
      <c r="AQ243" s="10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02"/>
      <c r="AK244" s="1"/>
      <c r="AL244" s="102"/>
      <c r="AM244" s="102"/>
      <c r="AN244" s="102"/>
      <c r="AO244" s="102"/>
      <c r="AP244" s="102"/>
      <c r="AQ244" s="10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02"/>
      <c r="AK245" s="1"/>
      <c r="AL245" s="102"/>
      <c r="AM245" s="102"/>
      <c r="AN245" s="102"/>
      <c r="AO245" s="102"/>
      <c r="AP245" s="102"/>
      <c r="AQ245" s="102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02"/>
      <c r="AK246" s="1"/>
      <c r="AL246" s="102"/>
      <c r="AM246" s="102"/>
      <c r="AN246" s="102"/>
      <c r="AO246" s="102"/>
      <c r="AP246" s="102"/>
      <c r="AQ246" s="102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02"/>
      <c r="AK247" s="1"/>
      <c r="AL247" s="102"/>
      <c r="AM247" s="102"/>
      <c r="AN247" s="102"/>
      <c r="AO247" s="102"/>
      <c r="AP247" s="102"/>
      <c r="AQ247" s="102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02"/>
      <c r="AK248" s="1"/>
      <c r="AL248" s="102"/>
      <c r="AM248" s="102"/>
      <c r="AN248" s="102"/>
      <c r="AO248" s="102"/>
      <c r="AP248" s="102"/>
      <c r="AQ248" s="102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02"/>
      <c r="AK249" s="1"/>
      <c r="AL249" s="102"/>
      <c r="AM249" s="102"/>
      <c r="AN249" s="102"/>
      <c r="AO249" s="102"/>
      <c r="AP249" s="102"/>
      <c r="AQ249" s="102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02"/>
      <c r="AK250" s="1"/>
      <c r="AL250" s="102"/>
      <c r="AM250" s="102"/>
      <c r="AN250" s="102"/>
      <c r="AO250" s="102"/>
      <c r="AP250" s="102"/>
      <c r="AQ250" s="102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02"/>
      <c r="AK251" s="1"/>
      <c r="AL251" s="102"/>
      <c r="AM251" s="102"/>
      <c r="AN251" s="102"/>
      <c r="AO251" s="102"/>
      <c r="AP251" s="102"/>
      <c r="AQ251" s="102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02"/>
      <c r="AK252" s="1"/>
      <c r="AL252" s="102"/>
      <c r="AM252" s="102"/>
      <c r="AN252" s="102"/>
      <c r="AO252" s="102"/>
      <c r="AP252" s="102"/>
      <c r="AQ252" s="102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02"/>
      <c r="AK253" s="1"/>
      <c r="AL253" s="102"/>
      <c r="AM253" s="102"/>
      <c r="AN253" s="102"/>
      <c r="AO253" s="102"/>
      <c r="AP253" s="102"/>
      <c r="AQ253" s="102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02"/>
      <c r="AK254" s="1"/>
      <c r="AL254" s="102"/>
      <c r="AM254" s="102"/>
      <c r="AN254" s="102"/>
      <c r="AO254" s="102"/>
      <c r="AP254" s="102"/>
      <c r="AQ254" s="102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02"/>
      <c r="AK255" s="1"/>
      <c r="AL255" s="102"/>
      <c r="AM255" s="102"/>
      <c r="AN255" s="102"/>
      <c r="AO255" s="102"/>
      <c r="AP255" s="102"/>
      <c r="AQ255" s="102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02"/>
      <c r="AK256" s="1"/>
      <c r="AL256" s="102"/>
      <c r="AM256" s="102"/>
      <c r="AN256" s="102"/>
      <c r="AO256" s="102"/>
      <c r="AP256" s="102"/>
      <c r="AQ256" s="102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02"/>
      <c r="AK257" s="1"/>
      <c r="AL257" s="102"/>
      <c r="AM257" s="102"/>
      <c r="AN257" s="102"/>
      <c r="AO257" s="102"/>
      <c r="AP257" s="102"/>
      <c r="AQ257" s="102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02"/>
      <c r="AK258" s="1"/>
      <c r="AL258" s="102"/>
      <c r="AM258" s="102"/>
      <c r="AN258" s="102"/>
      <c r="AO258" s="102"/>
      <c r="AP258" s="102"/>
      <c r="AQ258" s="102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02"/>
      <c r="AK259" s="1"/>
      <c r="AL259" s="102"/>
      <c r="AM259" s="102"/>
      <c r="AN259" s="102"/>
      <c r="AO259" s="102"/>
      <c r="AP259" s="102"/>
      <c r="AQ259" s="102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02"/>
      <c r="AK260" s="1"/>
      <c r="AL260" s="102"/>
      <c r="AM260" s="102"/>
      <c r="AN260" s="102"/>
      <c r="AO260" s="102"/>
      <c r="AP260" s="102"/>
      <c r="AQ260" s="102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02"/>
      <c r="AK261" s="1"/>
      <c r="AL261" s="102"/>
      <c r="AM261" s="102"/>
      <c r="AN261" s="102"/>
      <c r="AO261" s="102"/>
      <c r="AP261" s="102"/>
      <c r="AQ261" s="102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02"/>
      <c r="AK262" s="1"/>
      <c r="AL262" s="102"/>
      <c r="AM262" s="102"/>
      <c r="AN262" s="102"/>
      <c r="AO262" s="102"/>
      <c r="AP262" s="102"/>
      <c r="AQ262" s="102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02"/>
      <c r="AK263" s="1"/>
      <c r="AL263" s="102"/>
      <c r="AM263" s="102"/>
      <c r="AN263" s="102"/>
      <c r="AO263" s="102"/>
      <c r="AP263" s="102"/>
      <c r="AQ263" s="102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02"/>
      <c r="AK264" s="1"/>
      <c r="AL264" s="102"/>
      <c r="AM264" s="102"/>
      <c r="AN264" s="102"/>
      <c r="AO264" s="102"/>
      <c r="AP264" s="102"/>
      <c r="AQ264" s="102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02"/>
      <c r="AK265" s="1"/>
      <c r="AL265" s="102"/>
      <c r="AM265" s="102"/>
      <c r="AN265" s="102"/>
      <c r="AO265" s="102"/>
      <c r="AP265" s="102"/>
      <c r="AQ265" s="102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02"/>
      <c r="AK266" s="1"/>
      <c r="AL266" s="102"/>
      <c r="AM266" s="102"/>
      <c r="AN266" s="102"/>
      <c r="AO266" s="102"/>
      <c r="AP266" s="102"/>
      <c r="AQ266" s="102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02"/>
      <c r="AK267" s="1"/>
      <c r="AL267" s="102"/>
      <c r="AM267" s="102"/>
      <c r="AN267" s="102"/>
      <c r="AO267" s="102"/>
      <c r="AP267" s="102"/>
      <c r="AQ267" s="102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02"/>
      <c r="AK268" s="1"/>
      <c r="AL268" s="102"/>
      <c r="AM268" s="102"/>
      <c r="AN268" s="102"/>
      <c r="AO268" s="102"/>
      <c r="AP268" s="102"/>
      <c r="AQ268" s="102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02"/>
      <c r="AK269" s="1"/>
      <c r="AL269" s="102"/>
      <c r="AM269" s="102"/>
      <c r="AN269" s="102"/>
      <c r="AO269" s="102"/>
      <c r="AP269" s="102"/>
      <c r="AQ269" s="102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02"/>
      <c r="AK270" s="1"/>
      <c r="AL270" s="102"/>
      <c r="AM270" s="102"/>
      <c r="AN270" s="102"/>
      <c r="AO270" s="102"/>
      <c r="AP270" s="102"/>
      <c r="AQ270" s="102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02"/>
      <c r="AK271" s="1"/>
      <c r="AL271" s="102"/>
      <c r="AM271" s="102"/>
      <c r="AN271" s="102"/>
      <c r="AO271" s="102"/>
      <c r="AP271" s="102"/>
      <c r="AQ271" s="102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02"/>
      <c r="AK272" s="1"/>
      <c r="AL272" s="102"/>
      <c r="AM272" s="102"/>
      <c r="AN272" s="102"/>
      <c r="AO272" s="102"/>
      <c r="AP272" s="102"/>
      <c r="AQ272" s="102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02"/>
      <c r="AK273" s="1"/>
      <c r="AL273" s="102"/>
      <c r="AM273" s="102"/>
      <c r="AN273" s="102"/>
      <c r="AO273" s="102"/>
      <c r="AP273" s="102"/>
      <c r="AQ273" s="102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02"/>
      <c r="AK274" s="1"/>
      <c r="AL274" s="102"/>
      <c r="AM274" s="102"/>
      <c r="AN274" s="102"/>
      <c r="AO274" s="102"/>
      <c r="AP274" s="102"/>
      <c r="AQ274" s="102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02"/>
      <c r="AK275" s="1"/>
      <c r="AL275" s="102"/>
      <c r="AM275" s="102"/>
      <c r="AN275" s="102"/>
      <c r="AO275" s="102"/>
      <c r="AP275" s="102"/>
      <c r="AQ275" s="102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02"/>
      <c r="AK276" s="1"/>
      <c r="AL276" s="102"/>
      <c r="AM276" s="102"/>
      <c r="AN276" s="102"/>
      <c r="AO276" s="102"/>
      <c r="AP276" s="102"/>
      <c r="AQ276" s="102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02"/>
      <c r="AK277" s="1"/>
      <c r="AL277" s="102"/>
      <c r="AM277" s="102"/>
      <c r="AN277" s="102"/>
      <c r="AO277" s="102"/>
      <c r="AP277" s="102"/>
      <c r="AQ277" s="102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02"/>
      <c r="AK278" s="1"/>
      <c r="AL278" s="102"/>
      <c r="AM278" s="102"/>
      <c r="AN278" s="102"/>
      <c r="AO278" s="102"/>
      <c r="AP278" s="102"/>
      <c r="AQ278" s="102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02"/>
      <c r="AK279" s="1"/>
      <c r="AL279" s="102"/>
      <c r="AM279" s="102"/>
      <c r="AN279" s="102"/>
      <c r="AO279" s="102"/>
      <c r="AP279" s="102"/>
      <c r="AQ279" s="102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02"/>
      <c r="AK280" s="1"/>
      <c r="AL280" s="102"/>
      <c r="AM280" s="102"/>
      <c r="AN280" s="102"/>
      <c r="AO280" s="102"/>
      <c r="AP280" s="102"/>
      <c r="AQ280" s="102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02"/>
      <c r="AK281" s="1"/>
      <c r="AL281" s="102"/>
      <c r="AM281" s="102"/>
      <c r="AN281" s="102"/>
      <c r="AO281" s="102"/>
      <c r="AP281" s="102"/>
      <c r="AQ281" s="102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02"/>
      <c r="AK282" s="1"/>
      <c r="AL282" s="102"/>
      <c r="AM282" s="102"/>
      <c r="AN282" s="102"/>
      <c r="AO282" s="102"/>
      <c r="AP282" s="102"/>
      <c r="AQ282" s="102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02"/>
      <c r="AK283" s="1"/>
      <c r="AL283" s="102"/>
      <c r="AM283" s="102"/>
      <c r="AN283" s="102"/>
      <c r="AO283" s="102"/>
      <c r="AP283" s="102"/>
      <c r="AQ283" s="102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02"/>
      <c r="AK284" s="1"/>
      <c r="AL284" s="102"/>
      <c r="AM284" s="102"/>
      <c r="AN284" s="102"/>
      <c r="AO284" s="102"/>
      <c r="AP284" s="102"/>
      <c r="AQ284" s="102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02"/>
      <c r="AK285" s="1"/>
      <c r="AL285" s="102"/>
      <c r="AM285" s="102"/>
      <c r="AN285" s="102"/>
      <c r="AO285" s="102"/>
      <c r="AP285" s="102"/>
      <c r="AQ285" s="102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02"/>
      <c r="AK286" s="1"/>
      <c r="AL286" s="102"/>
      <c r="AM286" s="102"/>
      <c r="AN286" s="102"/>
      <c r="AO286" s="102"/>
      <c r="AP286" s="102"/>
      <c r="AQ286" s="102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02"/>
      <c r="AK287" s="1"/>
      <c r="AL287" s="102"/>
      <c r="AM287" s="102"/>
      <c r="AN287" s="102"/>
      <c r="AO287" s="102"/>
      <c r="AP287" s="102"/>
      <c r="AQ287" s="102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02"/>
      <c r="AK288" s="1"/>
      <c r="AL288" s="102"/>
      <c r="AM288" s="102"/>
      <c r="AN288" s="102"/>
      <c r="AO288" s="102"/>
      <c r="AP288" s="102"/>
      <c r="AQ288" s="102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02"/>
      <c r="AK289" s="1"/>
      <c r="AL289" s="102"/>
      <c r="AM289" s="102"/>
      <c r="AN289" s="102"/>
      <c r="AO289" s="102"/>
      <c r="AP289" s="102"/>
      <c r="AQ289" s="102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02"/>
      <c r="AK290" s="1"/>
      <c r="AL290" s="102"/>
      <c r="AM290" s="102"/>
      <c r="AN290" s="102"/>
      <c r="AO290" s="102"/>
      <c r="AP290" s="102"/>
      <c r="AQ290" s="102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02"/>
      <c r="AK291" s="1"/>
      <c r="AL291" s="102"/>
      <c r="AM291" s="102"/>
      <c r="AN291" s="102"/>
      <c r="AO291" s="102"/>
      <c r="AP291" s="102"/>
      <c r="AQ291" s="102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02"/>
      <c r="AK292" s="1"/>
      <c r="AL292" s="102"/>
      <c r="AM292" s="102"/>
      <c r="AN292" s="102"/>
      <c r="AO292" s="102"/>
      <c r="AP292" s="102"/>
      <c r="AQ292" s="102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02"/>
      <c r="AK293" s="1"/>
      <c r="AL293" s="102"/>
      <c r="AM293" s="102"/>
      <c r="AN293" s="102"/>
      <c r="AO293" s="102"/>
      <c r="AP293" s="102"/>
      <c r="AQ293" s="102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02"/>
      <c r="AK294" s="1"/>
      <c r="AL294" s="102"/>
      <c r="AM294" s="102"/>
      <c r="AN294" s="102"/>
      <c r="AO294" s="102"/>
      <c r="AP294" s="102"/>
      <c r="AQ294" s="102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02"/>
      <c r="AK295" s="1"/>
      <c r="AL295" s="102"/>
      <c r="AM295" s="102"/>
      <c r="AN295" s="102"/>
      <c r="AO295" s="102"/>
      <c r="AP295" s="102"/>
      <c r="AQ295" s="102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02"/>
      <c r="AK296" s="1"/>
      <c r="AL296" s="102"/>
      <c r="AM296" s="102"/>
      <c r="AN296" s="102"/>
      <c r="AO296" s="102"/>
      <c r="AP296" s="102"/>
      <c r="AQ296" s="102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02"/>
      <c r="AK297" s="1"/>
      <c r="AL297" s="102"/>
      <c r="AM297" s="102"/>
      <c r="AN297" s="102"/>
      <c r="AO297" s="102"/>
      <c r="AP297" s="102"/>
      <c r="AQ297" s="102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02"/>
      <c r="AK298" s="1"/>
      <c r="AL298" s="102"/>
      <c r="AM298" s="102"/>
      <c r="AN298" s="102"/>
      <c r="AO298" s="102"/>
      <c r="AP298" s="102"/>
      <c r="AQ298" s="102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02"/>
      <c r="AK299" s="1"/>
      <c r="AL299" s="102"/>
      <c r="AM299" s="102"/>
      <c r="AN299" s="102"/>
      <c r="AO299" s="102"/>
      <c r="AP299" s="102"/>
      <c r="AQ299" s="102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02"/>
      <c r="AK300" s="1"/>
      <c r="AL300" s="102"/>
      <c r="AM300" s="102"/>
      <c r="AN300" s="102"/>
      <c r="AO300" s="102"/>
      <c r="AP300" s="102"/>
      <c r="AQ300" s="102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02"/>
      <c r="AK301" s="1"/>
      <c r="AL301" s="102"/>
      <c r="AM301" s="102"/>
      <c r="AN301" s="102"/>
      <c r="AO301" s="102"/>
      <c r="AP301" s="102"/>
      <c r="AQ301" s="102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02"/>
      <c r="AK302" s="1"/>
      <c r="AL302" s="102"/>
      <c r="AM302" s="102"/>
      <c r="AN302" s="102"/>
      <c r="AO302" s="102"/>
      <c r="AP302" s="102"/>
      <c r="AQ302" s="102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02"/>
      <c r="AK303" s="1"/>
      <c r="AL303" s="102"/>
      <c r="AM303" s="102"/>
      <c r="AN303" s="102"/>
      <c r="AO303" s="102"/>
      <c r="AP303" s="102"/>
      <c r="AQ303" s="102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02"/>
      <c r="AK304" s="1"/>
      <c r="AL304" s="102"/>
      <c r="AM304" s="102"/>
      <c r="AN304" s="102"/>
      <c r="AO304" s="102"/>
      <c r="AP304" s="102"/>
      <c r="AQ304" s="102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02"/>
      <c r="AK305" s="1"/>
      <c r="AL305" s="102"/>
      <c r="AM305" s="102"/>
      <c r="AN305" s="102"/>
      <c r="AO305" s="102"/>
      <c r="AP305" s="102"/>
      <c r="AQ305" s="102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02"/>
      <c r="AK306" s="1"/>
      <c r="AL306" s="102"/>
      <c r="AM306" s="102"/>
      <c r="AN306" s="102"/>
      <c r="AO306" s="102"/>
      <c r="AP306" s="102"/>
      <c r="AQ306" s="102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02"/>
      <c r="AK307" s="1"/>
      <c r="AL307" s="102"/>
      <c r="AM307" s="102"/>
      <c r="AN307" s="102"/>
      <c r="AO307" s="102"/>
      <c r="AP307" s="102"/>
      <c r="AQ307" s="102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02"/>
      <c r="AK308" s="1"/>
      <c r="AL308" s="102"/>
      <c r="AM308" s="102"/>
      <c r="AN308" s="102"/>
      <c r="AO308" s="102"/>
      <c r="AP308" s="102"/>
      <c r="AQ308" s="102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02"/>
      <c r="AK309" s="1"/>
      <c r="AL309" s="102"/>
      <c r="AM309" s="102"/>
      <c r="AN309" s="102"/>
      <c r="AO309" s="102"/>
      <c r="AP309" s="102"/>
      <c r="AQ309" s="102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02"/>
      <c r="AK310" s="1"/>
      <c r="AL310" s="102"/>
      <c r="AM310" s="102"/>
      <c r="AN310" s="102"/>
      <c r="AO310" s="102"/>
      <c r="AP310" s="102"/>
      <c r="AQ310" s="102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02"/>
      <c r="AK311" s="1"/>
      <c r="AL311" s="102"/>
      <c r="AM311" s="102"/>
      <c r="AN311" s="102"/>
      <c r="AO311" s="102"/>
      <c r="AP311" s="102"/>
      <c r="AQ311" s="102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02"/>
      <c r="AK312" s="1"/>
      <c r="AL312" s="102"/>
      <c r="AM312" s="102"/>
      <c r="AN312" s="102"/>
      <c r="AO312" s="102"/>
      <c r="AP312" s="102"/>
      <c r="AQ312" s="102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02"/>
      <c r="AK313" s="1"/>
      <c r="AL313" s="102"/>
      <c r="AM313" s="102"/>
      <c r="AN313" s="102"/>
      <c r="AO313" s="102"/>
      <c r="AP313" s="102"/>
      <c r="AQ313" s="102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02"/>
      <c r="AK314" s="1"/>
      <c r="AL314" s="102"/>
      <c r="AM314" s="102"/>
      <c r="AN314" s="102"/>
      <c r="AO314" s="102"/>
      <c r="AP314" s="102"/>
      <c r="AQ314" s="102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02"/>
      <c r="AK315" s="1"/>
      <c r="AL315" s="102"/>
      <c r="AM315" s="102"/>
      <c r="AN315" s="102"/>
      <c r="AO315" s="102"/>
      <c r="AP315" s="102"/>
      <c r="AQ315" s="102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02"/>
      <c r="AK316" s="1"/>
      <c r="AL316" s="102"/>
      <c r="AM316" s="102"/>
      <c r="AN316" s="102"/>
      <c r="AO316" s="102"/>
      <c r="AP316" s="102"/>
      <c r="AQ316" s="102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02"/>
      <c r="AK317" s="1"/>
      <c r="AL317" s="102"/>
      <c r="AM317" s="102"/>
      <c r="AN317" s="102"/>
      <c r="AO317" s="102"/>
      <c r="AP317" s="102"/>
      <c r="AQ317" s="102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02"/>
      <c r="AK318" s="1"/>
      <c r="AL318" s="102"/>
      <c r="AM318" s="102"/>
      <c r="AN318" s="102"/>
      <c r="AO318" s="102"/>
      <c r="AP318" s="102"/>
      <c r="AQ318" s="102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02"/>
      <c r="AK319" s="1"/>
      <c r="AL319" s="102"/>
      <c r="AM319" s="102"/>
      <c r="AN319" s="102"/>
      <c r="AO319" s="102"/>
      <c r="AP319" s="102"/>
      <c r="AQ319" s="102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02"/>
      <c r="AK320" s="1"/>
      <c r="AL320" s="102"/>
      <c r="AM320" s="102"/>
      <c r="AN320" s="102"/>
      <c r="AO320" s="102"/>
      <c r="AP320" s="102"/>
      <c r="AQ320" s="102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02"/>
      <c r="AK321" s="1"/>
      <c r="AL321" s="102"/>
      <c r="AM321" s="102"/>
      <c r="AN321" s="102"/>
      <c r="AO321" s="102"/>
      <c r="AP321" s="102"/>
      <c r="AQ321" s="102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02"/>
      <c r="AK322" s="1"/>
      <c r="AL322" s="102"/>
      <c r="AM322" s="102"/>
      <c r="AN322" s="102"/>
      <c r="AO322" s="102"/>
      <c r="AP322" s="102"/>
      <c r="AQ322" s="102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02"/>
      <c r="AK323" s="1"/>
      <c r="AL323" s="102"/>
      <c r="AM323" s="102"/>
      <c r="AN323" s="102"/>
      <c r="AO323" s="102"/>
      <c r="AP323" s="102"/>
      <c r="AQ323" s="102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02"/>
      <c r="AK324" s="1"/>
      <c r="AL324" s="102"/>
      <c r="AM324" s="102"/>
      <c r="AN324" s="102"/>
      <c r="AO324" s="102"/>
      <c r="AP324" s="102"/>
      <c r="AQ324" s="102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02"/>
      <c r="AK325" s="1"/>
      <c r="AL325" s="102"/>
      <c r="AM325" s="102"/>
      <c r="AN325" s="102"/>
      <c r="AO325" s="102"/>
      <c r="AP325" s="102"/>
      <c r="AQ325" s="102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02"/>
      <c r="AK326" s="1"/>
      <c r="AL326" s="102"/>
      <c r="AM326" s="102"/>
      <c r="AN326" s="102"/>
      <c r="AO326" s="102"/>
      <c r="AP326" s="102"/>
      <c r="AQ326" s="102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02"/>
      <c r="AK327" s="1"/>
      <c r="AL327" s="102"/>
      <c r="AM327" s="102"/>
      <c r="AN327" s="102"/>
      <c r="AO327" s="102"/>
      <c r="AP327" s="102"/>
      <c r="AQ327" s="102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02"/>
      <c r="AK328" s="1"/>
      <c r="AL328" s="102"/>
      <c r="AM328" s="102"/>
      <c r="AN328" s="102"/>
      <c r="AO328" s="102"/>
      <c r="AP328" s="102"/>
      <c r="AQ328" s="102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02"/>
      <c r="AK329" s="1"/>
      <c r="AL329" s="102"/>
      <c r="AM329" s="102"/>
      <c r="AN329" s="102"/>
      <c r="AO329" s="102"/>
      <c r="AP329" s="102"/>
      <c r="AQ329" s="102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02"/>
      <c r="AK330" s="1"/>
      <c r="AL330" s="102"/>
      <c r="AM330" s="102"/>
      <c r="AN330" s="102"/>
      <c r="AO330" s="102"/>
      <c r="AP330" s="102"/>
      <c r="AQ330" s="102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02"/>
      <c r="AK331" s="1"/>
      <c r="AL331" s="102"/>
      <c r="AM331" s="102"/>
      <c r="AN331" s="102"/>
      <c r="AO331" s="102"/>
      <c r="AP331" s="102"/>
      <c r="AQ331" s="102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02"/>
      <c r="AK332" s="1"/>
      <c r="AL332" s="102"/>
      <c r="AM332" s="102"/>
      <c r="AN332" s="102"/>
      <c r="AO332" s="102"/>
      <c r="AP332" s="102"/>
      <c r="AQ332" s="102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02"/>
      <c r="AK333" s="1"/>
      <c r="AL333" s="102"/>
      <c r="AM333" s="102"/>
      <c r="AN333" s="102"/>
      <c r="AO333" s="102"/>
      <c r="AP333" s="102"/>
      <c r="AQ333" s="102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02"/>
      <c r="AK334" s="1"/>
      <c r="AL334" s="102"/>
      <c r="AM334" s="102"/>
      <c r="AN334" s="102"/>
      <c r="AO334" s="102"/>
      <c r="AP334" s="102"/>
      <c r="AQ334" s="102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02"/>
      <c r="AK335" s="1"/>
      <c r="AL335" s="102"/>
      <c r="AM335" s="102"/>
      <c r="AN335" s="102"/>
      <c r="AO335" s="102"/>
      <c r="AP335" s="102"/>
      <c r="AQ335" s="102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02"/>
      <c r="AK336" s="1"/>
      <c r="AL336" s="102"/>
      <c r="AM336" s="102"/>
      <c r="AN336" s="102"/>
      <c r="AO336" s="102"/>
      <c r="AP336" s="102"/>
      <c r="AQ336" s="102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02"/>
      <c r="AK337" s="1"/>
      <c r="AL337" s="102"/>
      <c r="AM337" s="102"/>
      <c r="AN337" s="102"/>
      <c r="AO337" s="102"/>
      <c r="AP337" s="102"/>
      <c r="AQ337" s="102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02"/>
      <c r="AK338" s="1"/>
      <c r="AL338" s="102"/>
      <c r="AM338" s="102"/>
      <c r="AN338" s="102"/>
      <c r="AO338" s="102"/>
      <c r="AP338" s="102"/>
      <c r="AQ338" s="102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02"/>
      <c r="AK339" s="1"/>
      <c r="AL339" s="102"/>
      <c r="AM339" s="102"/>
      <c r="AN339" s="102"/>
      <c r="AO339" s="102"/>
      <c r="AP339" s="102"/>
      <c r="AQ339" s="102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02"/>
      <c r="AK340" s="1"/>
      <c r="AL340" s="102"/>
      <c r="AM340" s="102"/>
      <c r="AN340" s="102"/>
      <c r="AO340" s="102"/>
      <c r="AP340" s="102"/>
      <c r="AQ340" s="102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02"/>
      <c r="AK341" s="1"/>
      <c r="AL341" s="102"/>
      <c r="AM341" s="102"/>
      <c r="AN341" s="102"/>
      <c r="AO341" s="102"/>
      <c r="AP341" s="102"/>
      <c r="AQ341" s="102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02"/>
      <c r="AK342" s="1"/>
      <c r="AL342" s="102"/>
      <c r="AM342" s="102"/>
      <c r="AN342" s="102"/>
      <c r="AO342" s="102"/>
      <c r="AP342" s="102"/>
      <c r="AQ342" s="102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02"/>
      <c r="AK343" s="1"/>
      <c r="AL343" s="102"/>
      <c r="AM343" s="102"/>
      <c r="AN343" s="102"/>
      <c r="AO343" s="102"/>
      <c r="AP343" s="102"/>
      <c r="AQ343" s="102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02"/>
      <c r="AK344" s="1"/>
      <c r="AL344" s="102"/>
      <c r="AM344" s="102"/>
      <c r="AN344" s="102"/>
      <c r="AO344" s="102"/>
      <c r="AP344" s="102"/>
      <c r="AQ344" s="102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02"/>
      <c r="AK345" s="1"/>
      <c r="AL345" s="102"/>
      <c r="AM345" s="102"/>
      <c r="AN345" s="102"/>
      <c r="AO345" s="102"/>
      <c r="AP345" s="102"/>
      <c r="AQ345" s="102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02"/>
      <c r="AK346" s="1"/>
      <c r="AL346" s="102"/>
      <c r="AM346" s="102"/>
      <c r="AN346" s="102"/>
      <c r="AO346" s="102"/>
      <c r="AP346" s="102"/>
      <c r="AQ346" s="102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02"/>
      <c r="AK347" s="1"/>
      <c r="AL347" s="102"/>
      <c r="AM347" s="102"/>
      <c r="AN347" s="102"/>
      <c r="AO347" s="102"/>
      <c r="AP347" s="102"/>
      <c r="AQ347" s="102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02"/>
      <c r="AK348" s="1"/>
      <c r="AL348" s="102"/>
      <c r="AM348" s="102"/>
      <c r="AN348" s="102"/>
      <c r="AO348" s="102"/>
      <c r="AP348" s="102"/>
      <c r="AQ348" s="102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02"/>
      <c r="AK349" s="1"/>
      <c r="AL349" s="102"/>
      <c r="AM349" s="102"/>
      <c r="AN349" s="102"/>
      <c r="AO349" s="102"/>
      <c r="AP349" s="102"/>
      <c r="AQ349" s="102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02"/>
      <c r="AK350" s="1"/>
      <c r="AL350" s="102"/>
      <c r="AM350" s="102"/>
      <c r="AN350" s="102"/>
      <c r="AO350" s="102"/>
      <c r="AP350" s="102"/>
      <c r="AQ350" s="102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02"/>
      <c r="AK351" s="1"/>
      <c r="AL351" s="102"/>
      <c r="AM351" s="102"/>
      <c r="AN351" s="102"/>
      <c r="AO351" s="102"/>
      <c r="AP351" s="102"/>
      <c r="AQ351" s="102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02"/>
      <c r="AK352" s="1"/>
      <c r="AL352" s="102"/>
      <c r="AM352" s="102"/>
      <c r="AN352" s="102"/>
      <c r="AO352" s="102"/>
      <c r="AP352" s="102"/>
      <c r="AQ352" s="102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02"/>
      <c r="AK353" s="1"/>
      <c r="AL353" s="102"/>
      <c r="AM353" s="102"/>
      <c r="AN353" s="102"/>
      <c r="AO353" s="102"/>
      <c r="AP353" s="102"/>
      <c r="AQ353" s="102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02"/>
      <c r="AK354" s="1"/>
      <c r="AL354" s="102"/>
      <c r="AM354" s="102"/>
      <c r="AN354" s="102"/>
      <c r="AO354" s="102"/>
      <c r="AP354" s="102"/>
      <c r="AQ354" s="102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02"/>
      <c r="AK355" s="1"/>
      <c r="AL355" s="102"/>
      <c r="AM355" s="102"/>
      <c r="AN355" s="102"/>
      <c r="AO355" s="102"/>
      <c r="AP355" s="102"/>
      <c r="AQ355" s="102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02"/>
      <c r="AK356" s="1"/>
      <c r="AL356" s="102"/>
      <c r="AM356" s="102"/>
      <c r="AN356" s="102"/>
      <c r="AO356" s="102"/>
      <c r="AP356" s="102"/>
      <c r="AQ356" s="102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02"/>
      <c r="AK357" s="1"/>
      <c r="AL357" s="102"/>
      <c r="AM357" s="102"/>
      <c r="AN357" s="102"/>
      <c r="AO357" s="102"/>
      <c r="AP357" s="102"/>
      <c r="AQ357" s="102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02"/>
      <c r="AK358" s="1"/>
      <c r="AL358" s="102"/>
      <c r="AM358" s="102"/>
      <c r="AN358" s="102"/>
      <c r="AO358" s="102"/>
      <c r="AP358" s="102"/>
      <c r="AQ358" s="102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02"/>
      <c r="AK359" s="1"/>
      <c r="AL359" s="102"/>
      <c r="AM359" s="102"/>
      <c r="AN359" s="102"/>
      <c r="AO359" s="102"/>
      <c r="AP359" s="102"/>
      <c r="AQ359" s="102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02"/>
      <c r="AK360" s="1"/>
      <c r="AL360" s="102"/>
      <c r="AM360" s="102"/>
      <c r="AN360" s="102"/>
      <c r="AO360" s="102"/>
      <c r="AP360" s="102"/>
      <c r="AQ360" s="102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02"/>
      <c r="AK361" s="1"/>
      <c r="AL361" s="102"/>
      <c r="AM361" s="102"/>
      <c r="AN361" s="102"/>
      <c r="AO361" s="102"/>
      <c r="AP361" s="102"/>
      <c r="AQ361" s="102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02"/>
      <c r="AK362" s="1"/>
      <c r="AL362" s="102"/>
      <c r="AM362" s="102"/>
      <c r="AN362" s="102"/>
      <c r="AO362" s="102"/>
      <c r="AP362" s="102"/>
      <c r="AQ362" s="102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02"/>
      <c r="AK363" s="1"/>
      <c r="AL363" s="102"/>
      <c r="AM363" s="102"/>
      <c r="AN363" s="102"/>
      <c r="AO363" s="102"/>
      <c r="AP363" s="102"/>
      <c r="AQ363" s="102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02"/>
      <c r="AK364" s="1"/>
      <c r="AL364" s="102"/>
      <c r="AM364" s="102"/>
      <c r="AN364" s="102"/>
      <c r="AO364" s="102"/>
      <c r="AP364" s="102"/>
      <c r="AQ364" s="102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02"/>
      <c r="AK365" s="1"/>
      <c r="AL365" s="102"/>
      <c r="AM365" s="102"/>
      <c r="AN365" s="102"/>
      <c r="AO365" s="102"/>
      <c r="AP365" s="102"/>
      <c r="AQ365" s="102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02"/>
      <c r="AK366" s="1"/>
      <c r="AL366" s="102"/>
      <c r="AM366" s="102"/>
      <c r="AN366" s="102"/>
      <c r="AO366" s="102"/>
      <c r="AP366" s="102"/>
      <c r="AQ366" s="102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02"/>
      <c r="AK367" s="1"/>
      <c r="AL367" s="102"/>
      <c r="AM367" s="102"/>
      <c r="AN367" s="102"/>
      <c r="AO367" s="102"/>
      <c r="AP367" s="102"/>
      <c r="AQ367" s="102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02"/>
      <c r="AK368" s="1"/>
      <c r="AL368" s="102"/>
      <c r="AM368" s="102"/>
      <c r="AN368" s="102"/>
      <c r="AO368" s="102"/>
      <c r="AP368" s="102"/>
      <c r="AQ368" s="102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02"/>
      <c r="AK369" s="1"/>
      <c r="AL369" s="102"/>
      <c r="AM369" s="102"/>
      <c r="AN369" s="102"/>
      <c r="AO369" s="102"/>
      <c r="AP369" s="102"/>
      <c r="AQ369" s="102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02"/>
      <c r="AK370" s="1"/>
      <c r="AL370" s="102"/>
      <c r="AM370" s="102"/>
      <c r="AN370" s="102"/>
      <c r="AO370" s="102"/>
      <c r="AP370" s="102"/>
      <c r="AQ370" s="102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02"/>
      <c r="AK371" s="1"/>
      <c r="AL371" s="102"/>
      <c r="AM371" s="102"/>
      <c r="AN371" s="102"/>
      <c r="AO371" s="102"/>
      <c r="AP371" s="102"/>
      <c r="AQ371" s="102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02"/>
      <c r="AK372" s="1"/>
      <c r="AL372" s="102"/>
      <c r="AM372" s="102"/>
      <c r="AN372" s="102"/>
      <c r="AO372" s="102"/>
      <c r="AP372" s="102"/>
      <c r="AQ372" s="102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02"/>
      <c r="AK373" s="1"/>
      <c r="AL373" s="102"/>
      <c r="AM373" s="102"/>
      <c r="AN373" s="102"/>
      <c r="AO373" s="102"/>
      <c r="AP373" s="102"/>
      <c r="AQ373" s="102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02"/>
      <c r="AK374" s="1"/>
      <c r="AL374" s="102"/>
      <c r="AM374" s="102"/>
      <c r="AN374" s="102"/>
      <c r="AO374" s="102"/>
      <c r="AP374" s="102"/>
      <c r="AQ374" s="102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02"/>
      <c r="AK375" s="1"/>
      <c r="AL375" s="102"/>
      <c r="AM375" s="102"/>
      <c r="AN375" s="102"/>
      <c r="AO375" s="102"/>
      <c r="AP375" s="102"/>
      <c r="AQ375" s="102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02"/>
      <c r="AK376" s="1"/>
      <c r="AL376" s="102"/>
      <c r="AM376" s="102"/>
      <c r="AN376" s="102"/>
      <c r="AO376" s="102"/>
      <c r="AP376" s="102"/>
      <c r="AQ376" s="102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02"/>
      <c r="AK377" s="1"/>
      <c r="AL377" s="102"/>
      <c r="AM377" s="102"/>
      <c r="AN377" s="102"/>
      <c r="AO377" s="102"/>
      <c r="AP377" s="102"/>
      <c r="AQ377" s="102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02"/>
      <c r="AK378" s="1"/>
      <c r="AL378" s="102"/>
      <c r="AM378" s="102"/>
      <c r="AN378" s="102"/>
      <c r="AO378" s="102"/>
      <c r="AP378" s="102"/>
      <c r="AQ378" s="102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02"/>
      <c r="AK379" s="1"/>
      <c r="AL379" s="102"/>
      <c r="AM379" s="102"/>
      <c r="AN379" s="102"/>
      <c r="AO379" s="102"/>
      <c r="AP379" s="102"/>
      <c r="AQ379" s="102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02"/>
      <c r="AK380" s="1"/>
      <c r="AL380" s="102"/>
      <c r="AM380" s="102"/>
      <c r="AN380" s="102"/>
      <c r="AO380" s="102"/>
      <c r="AP380" s="102"/>
      <c r="AQ380" s="102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02"/>
      <c r="AK381" s="1"/>
      <c r="AL381" s="102"/>
      <c r="AM381" s="102"/>
      <c r="AN381" s="102"/>
      <c r="AO381" s="102"/>
      <c r="AP381" s="102"/>
      <c r="AQ381" s="102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02"/>
      <c r="AK382" s="1"/>
      <c r="AL382" s="102"/>
      <c r="AM382" s="102"/>
      <c r="AN382" s="102"/>
      <c r="AO382" s="102"/>
      <c r="AP382" s="102"/>
      <c r="AQ382" s="102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02"/>
      <c r="AK383" s="1"/>
      <c r="AL383" s="102"/>
      <c r="AM383" s="102"/>
      <c r="AN383" s="102"/>
      <c r="AO383" s="102"/>
      <c r="AP383" s="102"/>
      <c r="AQ383" s="102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02"/>
      <c r="AK384" s="1"/>
      <c r="AL384" s="102"/>
      <c r="AM384" s="102"/>
      <c r="AN384" s="102"/>
      <c r="AO384" s="102"/>
      <c r="AP384" s="102"/>
      <c r="AQ384" s="102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02"/>
      <c r="AK385" s="1"/>
      <c r="AL385" s="102"/>
      <c r="AM385" s="102"/>
      <c r="AN385" s="102"/>
      <c r="AO385" s="102"/>
      <c r="AP385" s="102"/>
      <c r="AQ385" s="102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02"/>
      <c r="AK386" s="1"/>
      <c r="AL386" s="102"/>
      <c r="AM386" s="102"/>
      <c r="AN386" s="102"/>
      <c r="AO386" s="102"/>
      <c r="AP386" s="102"/>
      <c r="AQ386" s="102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02"/>
      <c r="AK387" s="1"/>
      <c r="AL387" s="102"/>
      <c r="AM387" s="102"/>
      <c r="AN387" s="102"/>
      <c r="AO387" s="102"/>
      <c r="AP387" s="102"/>
      <c r="AQ387" s="102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02"/>
      <c r="AK388" s="1"/>
      <c r="AL388" s="102"/>
      <c r="AM388" s="102"/>
      <c r="AN388" s="102"/>
      <c r="AO388" s="102"/>
      <c r="AP388" s="102"/>
      <c r="AQ388" s="102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02"/>
      <c r="AK389" s="1"/>
      <c r="AL389" s="102"/>
      <c r="AM389" s="102"/>
      <c r="AN389" s="102"/>
      <c r="AO389" s="102"/>
      <c r="AP389" s="102"/>
      <c r="AQ389" s="102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02"/>
      <c r="AK390" s="1"/>
      <c r="AL390" s="102"/>
      <c r="AM390" s="102"/>
      <c r="AN390" s="102"/>
      <c r="AO390" s="102"/>
      <c r="AP390" s="102"/>
      <c r="AQ390" s="102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02"/>
      <c r="AK391" s="1"/>
      <c r="AL391" s="102"/>
      <c r="AM391" s="102"/>
      <c r="AN391" s="102"/>
      <c r="AO391" s="102"/>
      <c r="AP391" s="102"/>
      <c r="AQ391" s="102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02"/>
      <c r="AK392" s="1"/>
      <c r="AL392" s="102"/>
      <c r="AM392" s="102"/>
      <c r="AN392" s="102"/>
      <c r="AO392" s="102"/>
      <c r="AP392" s="102"/>
      <c r="AQ392" s="102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02"/>
      <c r="AK393" s="1"/>
      <c r="AL393" s="102"/>
      <c r="AM393" s="102"/>
      <c r="AN393" s="102"/>
      <c r="AO393" s="102"/>
      <c r="AP393" s="102"/>
      <c r="AQ393" s="102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02"/>
      <c r="AK394" s="1"/>
      <c r="AL394" s="102"/>
      <c r="AM394" s="102"/>
      <c r="AN394" s="102"/>
      <c r="AO394" s="102"/>
      <c r="AP394" s="102"/>
      <c r="AQ394" s="102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02"/>
      <c r="AK395" s="1"/>
      <c r="AL395" s="102"/>
      <c r="AM395" s="102"/>
      <c r="AN395" s="102"/>
      <c r="AO395" s="102"/>
      <c r="AP395" s="102"/>
      <c r="AQ395" s="102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02"/>
      <c r="AK396" s="1"/>
      <c r="AL396" s="102"/>
      <c r="AM396" s="102"/>
      <c r="AN396" s="102"/>
      <c r="AO396" s="102"/>
      <c r="AP396" s="102"/>
      <c r="AQ396" s="102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02"/>
      <c r="AK397" s="1"/>
      <c r="AL397" s="102"/>
      <c r="AM397" s="102"/>
      <c r="AN397" s="102"/>
      <c r="AO397" s="102"/>
      <c r="AP397" s="102"/>
      <c r="AQ397" s="102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02"/>
      <c r="AK398" s="1"/>
      <c r="AL398" s="102"/>
      <c r="AM398" s="102"/>
      <c r="AN398" s="102"/>
      <c r="AO398" s="102"/>
      <c r="AP398" s="102"/>
      <c r="AQ398" s="102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02"/>
      <c r="AK399" s="1"/>
      <c r="AL399" s="102"/>
      <c r="AM399" s="102"/>
      <c r="AN399" s="102"/>
      <c r="AO399" s="102"/>
      <c r="AP399" s="102"/>
      <c r="AQ399" s="102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02"/>
      <c r="AK400" s="1"/>
      <c r="AL400" s="102"/>
      <c r="AM400" s="102"/>
      <c r="AN400" s="102"/>
      <c r="AO400" s="102"/>
      <c r="AP400" s="102"/>
      <c r="AQ400" s="102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02"/>
      <c r="AK401" s="1"/>
      <c r="AL401" s="102"/>
      <c r="AM401" s="102"/>
      <c r="AN401" s="102"/>
      <c r="AO401" s="102"/>
      <c r="AP401" s="102"/>
      <c r="AQ401" s="102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02"/>
      <c r="AK402" s="1"/>
      <c r="AL402" s="102"/>
      <c r="AM402" s="102"/>
      <c r="AN402" s="102"/>
      <c r="AO402" s="102"/>
      <c r="AP402" s="102"/>
      <c r="AQ402" s="102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02"/>
      <c r="AK403" s="1"/>
      <c r="AL403" s="102"/>
      <c r="AM403" s="102"/>
      <c r="AN403" s="102"/>
      <c r="AO403" s="102"/>
      <c r="AP403" s="102"/>
      <c r="AQ403" s="102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02"/>
      <c r="AK404" s="1"/>
      <c r="AL404" s="102"/>
      <c r="AM404" s="102"/>
      <c r="AN404" s="102"/>
      <c r="AO404" s="102"/>
      <c r="AP404" s="102"/>
      <c r="AQ404" s="102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02"/>
      <c r="AK405" s="1"/>
      <c r="AL405" s="102"/>
      <c r="AM405" s="102"/>
      <c r="AN405" s="102"/>
      <c r="AO405" s="102"/>
      <c r="AP405" s="102"/>
      <c r="AQ405" s="102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02"/>
      <c r="AK406" s="1"/>
      <c r="AL406" s="102"/>
      <c r="AM406" s="102"/>
      <c r="AN406" s="102"/>
      <c r="AO406" s="102"/>
      <c r="AP406" s="102"/>
      <c r="AQ406" s="102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02"/>
      <c r="AK407" s="1"/>
      <c r="AL407" s="102"/>
      <c r="AM407" s="102"/>
      <c r="AN407" s="102"/>
      <c r="AO407" s="102"/>
      <c r="AP407" s="102"/>
      <c r="AQ407" s="102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02"/>
      <c r="AK408" s="1"/>
      <c r="AL408" s="102"/>
      <c r="AM408" s="102"/>
      <c r="AN408" s="102"/>
      <c r="AO408" s="102"/>
      <c r="AP408" s="102"/>
      <c r="AQ408" s="102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02"/>
      <c r="AK409" s="1"/>
      <c r="AL409" s="102"/>
      <c r="AM409" s="102"/>
      <c r="AN409" s="102"/>
      <c r="AO409" s="102"/>
      <c r="AP409" s="102"/>
      <c r="AQ409" s="102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02"/>
      <c r="AK410" s="1"/>
      <c r="AL410" s="102"/>
      <c r="AM410" s="102"/>
      <c r="AN410" s="102"/>
      <c r="AO410" s="102"/>
      <c r="AP410" s="102"/>
      <c r="AQ410" s="102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02"/>
      <c r="AK411" s="1"/>
      <c r="AL411" s="102"/>
      <c r="AM411" s="102"/>
      <c r="AN411" s="102"/>
      <c r="AO411" s="102"/>
      <c r="AP411" s="102"/>
      <c r="AQ411" s="102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02"/>
      <c r="AK412" s="1"/>
      <c r="AL412" s="102"/>
      <c r="AM412" s="102"/>
      <c r="AN412" s="102"/>
      <c r="AO412" s="102"/>
      <c r="AP412" s="102"/>
      <c r="AQ412" s="102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02"/>
      <c r="AK413" s="1"/>
      <c r="AL413" s="102"/>
      <c r="AM413" s="102"/>
      <c r="AN413" s="102"/>
      <c r="AO413" s="102"/>
      <c r="AP413" s="102"/>
      <c r="AQ413" s="102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02"/>
      <c r="AK414" s="1"/>
      <c r="AL414" s="102"/>
      <c r="AM414" s="102"/>
      <c r="AN414" s="102"/>
      <c r="AO414" s="102"/>
      <c r="AP414" s="102"/>
      <c r="AQ414" s="102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02"/>
      <c r="AK415" s="1"/>
      <c r="AL415" s="102"/>
      <c r="AM415" s="102"/>
      <c r="AN415" s="102"/>
      <c r="AO415" s="102"/>
      <c r="AP415" s="102"/>
      <c r="AQ415" s="102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02"/>
      <c r="AK416" s="1"/>
      <c r="AL416" s="102"/>
      <c r="AM416" s="102"/>
      <c r="AN416" s="102"/>
      <c r="AO416" s="102"/>
      <c r="AP416" s="102"/>
      <c r="AQ416" s="102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02"/>
      <c r="AK417" s="1"/>
      <c r="AL417" s="102"/>
      <c r="AM417" s="102"/>
      <c r="AN417" s="102"/>
      <c r="AO417" s="102"/>
      <c r="AP417" s="102"/>
      <c r="AQ417" s="102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02"/>
      <c r="AK418" s="1"/>
      <c r="AL418" s="102"/>
      <c r="AM418" s="102"/>
      <c r="AN418" s="102"/>
      <c r="AO418" s="102"/>
      <c r="AP418" s="102"/>
      <c r="AQ418" s="102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02"/>
      <c r="AK419" s="1"/>
      <c r="AL419" s="102"/>
      <c r="AM419" s="102"/>
      <c r="AN419" s="102"/>
      <c r="AO419" s="102"/>
      <c r="AP419" s="102"/>
      <c r="AQ419" s="102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02"/>
      <c r="AK420" s="1"/>
      <c r="AL420" s="102"/>
      <c r="AM420" s="102"/>
      <c r="AN420" s="102"/>
      <c r="AO420" s="102"/>
      <c r="AP420" s="102"/>
      <c r="AQ420" s="102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02"/>
      <c r="AK421" s="1"/>
      <c r="AL421" s="102"/>
      <c r="AM421" s="102"/>
      <c r="AN421" s="102"/>
      <c r="AO421" s="102"/>
      <c r="AP421" s="102"/>
      <c r="AQ421" s="102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02"/>
      <c r="AK422" s="1"/>
      <c r="AL422" s="102"/>
      <c r="AM422" s="102"/>
      <c r="AN422" s="102"/>
      <c r="AO422" s="102"/>
      <c r="AP422" s="102"/>
      <c r="AQ422" s="102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02"/>
      <c r="AK423" s="1"/>
      <c r="AL423" s="102"/>
      <c r="AM423" s="102"/>
      <c r="AN423" s="102"/>
      <c r="AO423" s="102"/>
      <c r="AP423" s="102"/>
      <c r="AQ423" s="102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02"/>
      <c r="AK424" s="1"/>
      <c r="AL424" s="102"/>
      <c r="AM424" s="102"/>
      <c r="AN424" s="102"/>
      <c r="AO424" s="102"/>
      <c r="AP424" s="102"/>
      <c r="AQ424" s="102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02"/>
      <c r="AK425" s="1"/>
      <c r="AL425" s="102"/>
      <c r="AM425" s="102"/>
      <c r="AN425" s="102"/>
      <c r="AO425" s="102"/>
      <c r="AP425" s="102"/>
      <c r="AQ425" s="102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02"/>
      <c r="AK426" s="1"/>
      <c r="AL426" s="102"/>
      <c r="AM426" s="102"/>
      <c r="AN426" s="102"/>
      <c r="AO426" s="102"/>
      <c r="AP426" s="102"/>
      <c r="AQ426" s="102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02"/>
      <c r="AK427" s="1"/>
      <c r="AL427" s="102"/>
      <c r="AM427" s="102"/>
      <c r="AN427" s="102"/>
      <c r="AO427" s="102"/>
      <c r="AP427" s="102"/>
      <c r="AQ427" s="102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02"/>
      <c r="AK428" s="1"/>
      <c r="AL428" s="102"/>
      <c r="AM428" s="102"/>
      <c r="AN428" s="102"/>
      <c r="AO428" s="102"/>
      <c r="AP428" s="102"/>
      <c r="AQ428" s="102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02"/>
      <c r="AK429" s="1"/>
      <c r="AL429" s="102"/>
      <c r="AM429" s="102"/>
      <c r="AN429" s="102"/>
      <c r="AO429" s="102"/>
      <c r="AP429" s="102"/>
      <c r="AQ429" s="102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02"/>
      <c r="AK430" s="1"/>
      <c r="AL430" s="102"/>
      <c r="AM430" s="102"/>
      <c r="AN430" s="102"/>
      <c r="AO430" s="102"/>
      <c r="AP430" s="102"/>
      <c r="AQ430" s="102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02"/>
      <c r="AK431" s="1"/>
      <c r="AL431" s="102"/>
      <c r="AM431" s="102"/>
      <c r="AN431" s="102"/>
      <c r="AO431" s="102"/>
      <c r="AP431" s="102"/>
      <c r="AQ431" s="102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02"/>
      <c r="AK432" s="1"/>
      <c r="AL432" s="102"/>
      <c r="AM432" s="102"/>
      <c r="AN432" s="102"/>
      <c r="AO432" s="102"/>
      <c r="AP432" s="102"/>
      <c r="AQ432" s="102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02"/>
      <c r="AK433" s="1"/>
      <c r="AL433" s="102"/>
      <c r="AM433" s="102"/>
      <c r="AN433" s="102"/>
      <c r="AO433" s="102"/>
      <c r="AP433" s="102"/>
      <c r="AQ433" s="102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02"/>
      <c r="AK434" s="1"/>
      <c r="AL434" s="102"/>
      <c r="AM434" s="102"/>
      <c r="AN434" s="102"/>
      <c r="AO434" s="102"/>
      <c r="AP434" s="102"/>
      <c r="AQ434" s="102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02"/>
      <c r="AK435" s="1"/>
      <c r="AL435" s="102"/>
      <c r="AM435" s="102"/>
      <c r="AN435" s="102"/>
      <c r="AO435" s="102"/>
      <c r="AP435" s="102"/>
      <c r="AQ435" s="102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02"/>
      <c r="AK436" s="1"/>
      <c r="AL436" s="102"/>
      <c r="AM436" s="102"/>
      <c r="AN436" s="102"/>
      <c r="AO436" s="102"/>
      <c r="AP436" s="102"/>
      <c r="AQ436" s="102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02"/>
      <c r="AK437" s="1"/>
      <c r="AL437" s="102"/>
      <c r="AM437" s="102"/>
      <c r="AN437" s="102"/>
      <c r="AO437" s="102"/>
      <c r="AP437" s="102"/>
      <c r="AQ437" s="102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02"/>
      <c r="AK438" s="1"/>
      <c r="AL438" s="102"/>
      <c r="AM438" s="102"/>
      <c r="AN438" s="102"/>
      <c r="AO438" s="102"/>
      <c r="AP438" s="102"/>
      <c r="AQ438" s="102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02"/>
      <c r="AK439" s="1"/>
      <c r="AL439" s="102"/>
      <c r="AM439" s="102"/>
      <c r="AN439" s="102"/>
      <c r="AO439" s="102"/>
      <c r="AP439" s="102"/>
      <c r="AQ439" s="102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02"/>
      <c r="AK440" s="1"/>
      <c r="AL440" s="102"/>
      <c r="AM440" s="102"/>
      <c r="AN440" s="102"/>
      <c r="AO440" s="102"/>
      <c r="AP440" s="102"/>
      <c r="AQ440" s="102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02"/>
      <c r="AK441" s="1"/>
      <c r="AL441" s="102"/>
      <c r="AM441" s="102"/>
      <c r="AN441" s="102"/>
      <c r="AO441" s="102"/>
      <c r="AP441" s="102"/>
      <c r="AQ441" s="102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02"/>
      <c r="AK442" s="1"/>
      <c r="AL442" s="102"/>
      <c r="AM442" s="102"/>
      <c r="AN442" s="102"/>
      <c r="AO442" s="102"/>
      <c r="AP442" s="102"/>
      <c r="AQ442" s="102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02"/>
      <c r="AK443" s="1"/>
      <c r="AL443" s="102"/>
      <c r="AM443" s="102"/>
      <c r="AN443" s="102"/>
      <c r="AO443" s="102"/>
      <c r="AP443" s="102"/>
      <c r="AQ443" s="102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02"/>
      <c r="AK444" s="1"/>
      <c r="AL444" s="102"/>
      <c r="AM444" s="102"/>
      <c r="AN444" s="102"/>
      <c r="AO444" s="102"/>
      <c r="AP444" s="102"/>
      <c r="AQ444" s="102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02"/>
      <c r="AK445" s="1"/>
      <c r="AL445" s="102"/>
      <c r="AM445" s="102"/>
      <c r="AN445" s="102"/>
      <c r="AO445" s="102"/>
      <c r="AP445" s="102"/>
      <c r="AQ445" s="102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02"/>
      <c r="AK446" s="1"/>
      <c r="AL446" s="102"/>
      <c r="AM446" s="102"/>
      <c r="AN446" s="102"/>
      <c r="AO446" s="102"/>
      <c r="AP446" s="102"/>
      <c r="AQ446" s="102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02"/>
      <c r="AK447" s="1"/>
      <c r="AL447" s="102"/>
      <c r="AM447" s="102"/>
      <c r="AN447" s="102"/>
      <c r="AO447" s="102"/>
      <c r="AP447" s="102"/>
      <c r="AQ447" s="102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02"/>
      <c r="AK448" s="1"/>
      <c r="AL448" s="102"/>
      <c r="AM448" s="102"/>
      <c r="AN448" s="102"/>
      <c r="AO448" s="102"/>
      <c r="AP448" s="102"/>
      <c r="AQ448" s="102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02"/>
      <c r="AK449" s="1"/>
      <c r="AL449" s="102"/>
      <c r="AM449" s="102"/>
      <c r="AN449" s="102"/>
      <c r="AO449" s="102"/>
      <c r="AP449" s="102"/>
      <c r="AQ449" s="102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02"/>
      <c r="AK450" s="1"/>
      <c r="AL450" s="102"/>
      <c r="AM450" s="102"/>
      <c r="AN450" s="102"/>
      <c r="AO450" s="102"/>
      <c r="AP450" s="102"/>
      <c r="AQ450" s="102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02"/>
      <c r="AK451" s="1"/>
      <c r="AL451" s="102"/>
      <c r="AM451" s="102"/>
      <c r="AN451" s="102"/>
      <c r="AO451" s="102"/>
      <c r="AP451" s="102"/>
      <c r="AQ451" s="102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02"/>
      <c r="AK452" s="1"/>
      <c r="AL452" s="102"/>
      <c r="AM452" s="102"/>
      <c r="AN452" s="102"/>
      <c r="AO452" s="102"/>
      <c r="AP452" s="102"/>
      <c r="AQ452" s="102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02"/>
      <c r="AK453" s="1"/>
      <c r="AL453" s="102"/>
      <c r="AM453" s="102"/>
      <c r="AN453" s="102"/>
      <c r="AO453" s="102"/>
      <c r="AP453" s="102"/>
      <c r="AQ453" s="102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02"/>
      <c r="AK454" s="1"/>
      <c r="AL454" s="102"/>
      <c r="AM454" s="102"/>
      <c r="AN454" s="102"/>
      <c r="AO454" s="102"/>
      <c r="AP454" s="102"/>
      <c r="AQ454" s="102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02"/>
      <c r="AK455" s="1"/>
      <c r="AL455" s="102"/>
      <c r="AM455" s="102"/>
      <c r="AN455" s="102"/>
      <c r="AO455" s="102"/>
      <c r="AP455" s="102"/>
      <c r="AQ455" s="102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02"/>
      <c r="AK456" s="1"/>
      <c r="AL456" s="102"/>
      <c r="AM456" s="102"/>
      <c r="AN456" s="102"/>
      <c r="AO456" s="102"/>
      <c r="AP456" s="102"/>
      <c r="AQ456" s="102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02"/>
      <c r="AK457" s="1"/>
      <c r="AL457" s="102"/>
      <c r="AM457" s="102"/>
      <c r="AN457" s="102"/>
      <c r="AO457" s="102"/>
      <c r="AP457" s="102"/>
      <c r="AQ457" s="102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02"/>
      <c r="AK458" s="1"/>
      <c r="AL458" s="102"/>
      <c r="AM458" s="102"/>
      <c r="AN458" s="102"/>
      <c r="AO458" s="102"/>
      <c r="AP458" s="102"/>
      <c r="AQ458" s="102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02"/>
      <c r="AK459" s="1"/>
      <c r="AL459" s="102"/>
      <c r="AM459" s="102"/>
      <c r="AN459" s="102"/>
      <c r="AO459" s="102"/>
      <c r="AP459" s="102"/>
      <c r="AQ459" s="102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02"/>
      <c r="AK460" s="1"/>
      <c r="AL460" s="102"/>
      <c r="AM460" s="102"/>
      <c r="AN460" s="102"/>
      <c r="AO460" s="102"/>
      <c r="AP460" s="102"/>
      <c r="AQ460" s="102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02"/>
      <c r="AK461" s="1"/>
      <c r="AL461" s="102"/>
      <c r="AM461" s="102"/>
      <c r="AN461" s="102"/>
      <c r="AO461" s="102"/>
      <c r="AP461" s="102"/>
      <c r="AQ461" s="102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02"/>
      <c r="AK462" s="1"/>
      <c r="AL462" s="102"/>
      <c r="AM462" s="102"/>
      <c r="AN462" s="102"/>
      <c r="AO462" s="102"/>
      <c r="AP462" s="102"/>
      <c r="AQ462" s="102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02"/>
      <c r="AK463" s="1"/>
      <c r="AL463" s="102"/>
      <c r="AM463" s="102"/>
      <c r="AN463" s="102"/>
      <c r="AO463" s="102"/>
      <c r="AP463" s="102"/>
      <c r="AQ463" s="102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02"/>
      <c r="AK464" s="1"/>
      <c r="AL464" s="102"/>
      <c r="AM464" s="102"/>
      <c r="AN464" s="102"/>
      <c r="AO464" s="102"/>
      <c r="AP464" s="102"/>
      <c r="AQ464" s="102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02"/>
      <c r="AK465" s="1"/>
      <c r="AL465" s="102"/>
      <c r="AM465" s="102"/>
      <c r="AN465" s="102"/>
      <c r="AO465" s="102"/>
      <c r="AP465" s="102"/>
      <c r="AQ465" s="102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02"/>
      <c r="AK466" s="1"/>
      <c r="AL466" s="102"/>
      <c r="AM466" s="102"/>
      <c r="AN466" s="102"/>
      <c r="AO466" s="102"/>
      <c r="AP466" s="102"/>
      <c r="AQ466" s="102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02"/>
      <c r="AK467" s="1"/>
      <c r="AL467" s="102"/>
      <c r="AM467" s="102"/>
      <c r="AN467" s="102"/>
      <c r="AO467" s="102"/>
      <c r="AP467" s="102"/>
      <c r="AQ467" s="102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02"/>
      <c r="AK468" s="1"/>
      <c r="AL468" s="102"/>
      <c r="AM468" s="102"/>
      <c r="AN468" s="102"/>
      <c r="AO468" s="102"/>
      <c r="AP468" s="102"/>
      <c r="AQ468" s="102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02"/>
      <c r="AK469" s="1"/>
      <c r="AL469" s="102"/>
      <c r="AM469" s="102"/>
      <c r="AN469" s="102"/>
      <c r="AO469" s="102"/>
      <c r="AP469" s="102"/>
      <c r="AQ469" s="102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02"/>
      <c r="AK470" s="1"/>
      <c r="AL470" s="102"/>
      <c r="AM470" s="102"/>
      <c r="AN470" s="102"/>
      <c r="AO470" s="102"/>
      <c r="AP470" s="102"/>
      <c r="AQ470" s="102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02"/>
      <c r="AK471" s="1"/>
      <c r="AL471" s="102"/>
      <c r="AM471" s="102"/>
      <c r="AN471" s="102"/>
      <c r="AO471" s="102"/>
      <c r="AP471" s="102"/>
      <c r="AQ471" s="102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02"/>
      <c r="AK472" s="1"/>
      <c r="AL472" s="102"/>
      <c r="AM472" s="102"/>
      <c r="AN472" s="102"/>
      <c r="AO472" s="102"/>
      <c r="AP472" s="102"/>
      <c r="AQ472" s="102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02"/>
      <c r="AK473" s="1"/>
      <c r="AL473" s="102"/>
      <c r="AM473" s="102"/>
      <c r="AN473" s="102"/>
      <c r="AO473" s="102"/>
      <c r="AP473" s="102"/>
      <c r="AQ473" s="102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02"/>
      <c r="AK474" s="1"/>
      <c r="AL474" s="102"/>
      <c r="AM474" s="102"/>
      <c r="AN474" s="102"/>
      <c r="AO474" s="102"/>
      <c r="AP474" s="102"/>
      <c r="AQ474" s="102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02"/>
      <c r="AK475" s="1"/>
      <c r="AL475" s="102"/>
      <c r="AM475" s="102"/>
      <c r="AN475" s="102"/>
      <c r="AO475" s="102"/>
      <c r="AP475" s="102"/>
      <c r="AQ475" s="102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02"/>
      <c r="AK476" s="1"/>
      <c r="AL476" s="102"/>
      <c r="AM476" s="102"/>
      <c r="AN476" s="102"/>
      <c r="AO476" s="102"/>
      <c r="AP476" s="102"/>
      <c r="AQ476" s="102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02"/>
      <c r="AK477" s="1"/>
      <c r="AL477" s="102"/>
      <c r="AM477" s="102"/>
      <c r="AN477" s="102"/>
      <c r="AO477" s="102"/>
      <c r="AP477" s="102"/>
      <c r="AQ477" s="102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02"/>
      <c r="AK478" s="1"/>
      <c r="AL478" s="102"/>
      <c r="AM478" s="102"/>
      <c r="AN478" s="102"/>
      <c r="AO478" s="102"/>
      <c r="AP478" s="102"/>
      <c r="AQ478" s="102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02"/>
      <c r="AK479" s="1"/>
      <c r="AL479" s="102"/>
      <c r="AM479" s="102"/>
      <c r="AN479" s="102"/>
      <c r="AO479" s="102"/>
      <c r="AP479" s="102"/>
      <c r="AQ479" s="102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02"/>
      <c r="AK480" s="1"/>
      <c r="AL480" s="102"/>
      <c r="AM480" s="102"/>
      <c r="AN480" s="102"/>
      <c r="AO480" s="102"/>
      <c r="AP480" s="102"/>
      <c r="AQ480" s="102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02"/>
      <c r="AK481" s="1"/>
      <c r="AL481" s="102"/>
      <c r="AM481" s="102"/>
      <c r="AN481" s="102"/>
      <c r="AO481" s="102"/>
      <c r="AP481" s="102"/>
      <c r="AQ481" s="102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02"/>
      <c r="AK482" s="1"/>
      <c r="AL482" s="102"/>
      <c r="AM482" s="102"/>
      <c r="AN482" s="102"/>
      <c r="AO482" s="102"/>
      <c r="AP482" s="102"/>
      <c r="AQ482" s="102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02"/>
      <c r="AK483" s="1"/>
      <c r="AL483" s="102"/>
      <c r="AM483" s="102"/>
      <c r="AN483" s="102"/>
      <c r="AO483" s="102"/>
      <c r="AP483" s="102"/>
      <c r="AQ483" s="102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02"/>
      <c r="AK484" s="1"/>
      <c r="AL484" s="102"/>
      <c r="AM484" s="102"/>
      <c r="AN484" s="102"/>
      <c r="AO484" s="102"/>
      <c r="AP484" s="102"/>
      <c r="AQ484" s="102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02"/>
      <c r="AK485" s="1"/>
      <c r="AL485" s="102"/>
      <c r="AM485" s="102"/>
      <c r="AN485" s="102"/>
      <c r="AO485" s="102"/>
      <c r="AP485" s="102"/>
      <c r="AQ485" s="102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02"/>
      <c r="AK486" s="1"/>
      <c r="AL486" s="102"/>
      <c r="AM486" s="102"/>
      <c r="AN486" s="102"/>
      <c r="AO486" s="102"/>
      <c r="AP486" s="102"/>
      <c r="AQ486" s="102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02"/>
      <c r="AK487" s="1"/>
      <c r="AL487" s="102"/>
      <c r="AM487" s="102"/>
      <c r="AN487" s="102"/>
      <c r="AO487" s="102"/>
      <c r="AP487" s="102"/>
      <c r="AQ487" s="102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02"/>
      <c r="AK488" s="1"/>
      <c r="AL488" s="102"/>
      <c r="AM488" s="102"/>
      <c r="AN488" s="102"/>
      <c r="AO488" s="102"/>
      <c r="AP488" s="102"/>
      <c r="AQ488" s="102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02"/>
      <c r="AK489" s="1"/>
      <c r="AL489" s="102"/>
      <c r="AM489" s="102"/>
      <c r="AN489" s="102"/>
      <c r="AO489" s="102"/>
      <c r="AP489" s="102"/>
      <c r="AQ489" s="102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02"/>
      <c r="AK490" s="1"/>
      <c r="AL490" s="102"/>
      <c r="AM490" s="102"/>
      <c r="AN490" s="102"/>
      <c r="AO490" s="102"/>
      <c r="AP490" s="102"/>
      <c r="AQ490" s="102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02"/>
      <c r="AK491" s="1"/>
      <c r="AL491" s="102"/>
      <c r="AM491" s="102"/>
      <c r="AN491" s="102"/>
      <c r="AO491" s="102"/>
      <c r="AP491" s="102"/>
      <c r="AQ491" s="102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02"/>
      <c r="AK492" s="1"/>
      <c r="AL492" s="102"/>
      <c r="AM492" s="102"/>
      <c r="AN492" s="102"/>
      <c r="AO492" s="102"/>
      <c r="AP492" s="102"/>
      <c r="AQ492" s="102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02"/>
      <c r="AK493" s="1"/>
      <c r="AL493" s="102"/>
      <c r="AM493" s="102"/>
      <c r="AN493" s="102"/>
      <c r="AO493" s="102"/>
      <c r="AP493" s="102"/>
      <c r="AQ493" s="102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02"/>
      <c r="AK494" s="1"/>
      <c r="AL494" s="102"/>
      <c r="AM494" s="102"/>
      <c r="AN494" s="102"/>
      <c r="AO494" s="102"/>
      <c r="AP494" s="102"/>
      <c r="AQ494" s="102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02"/>
      <c r="AK495" s="1"/>
      <c r="AL495" s="102"/>
      <c r="AM495" s="102"/>
      <c r="AN495" s="102"/>
      <c r="AO495" s="102"/>
      <c r="AP495" s="102"/>
      <c r="AQ495" s="102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02"/>
      <c r="AK496" s="1"/>
      <c r="AL496" s="102"/>
      <c r="AM496" s="102"/>
      <c r="AN496" s="102"/>
      <c r="AO496" s="102"/>
      <c r="AP496" s="102"/>
      <c r="AQ496" s="102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02"/>
      <c r="AK497" s="1"/>
      <c r="AL497" s="102"/>
      <c r="AM497" s="102"/>
      <c r="AN497" s="102"/>
      <c r="AO497" s="102"/>
      <c r="AP497" s="102"/>
      <c r="AQ497" s="102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02"/>
      <c r="AK498" s="1"/>
      <c r="AL498" s="102"/>
      <c r="AM498" s="102"/>
      <c r="AN498" s="102"/>
      <c r="AO498" s="102"/>
      <c r="AP498" s="102"/>
      <c r="AQ498" s="102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02"/>
      <c r="AK499" s="1"/>
      <c r="AL499" s="102"/>
      <c r="AM499" s="102"/>
      <c r="AN499" s="102"/>
      <c r="AO499" s="102"/>
      <c r="AP499" s="102"/>
      <c r="AQ499" s="102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02"/>
      <c r="AK500" s="1"/>
      <c r="AL500" s="102"/>
      <c r="AM500" s="102"/>
      <c r="AN500" s="102"/>
      <c r="AO500" s="102"/>
      <c r="AP500" s="102"/>
      <c r="AQ500" s="102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02"/>
      <c r="AK501" s="1"/>
      <c r="AL501" s="102"/>
      <c r="AM501" s="102"/>
      <c r="AN501" s="102"/>
      <c r="AO501" s="102"/>
      <c r="AP501" s="102"/>
      <c r="AQ501" s="102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02"/>
      <c r="AK502" s="1"/>
      <c r="AL502" s="102"/>
      <c r="AM502" s="102"/>
      <c r="AN502" s="102"/>
      <c r="AO502" s="102"/>
      <c r="AP502" s="102"/>
      <c r="AQ502" s="102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02"/>
      <c r="AK503" s="1"/>
      <c r="AL503" s="102"/>
      <c r="AM503" s="102"/>
      <c r="AN503" s="102"/>
      <c r="AO503" s="102"/>
      <c r="AP503" s="102"/>
      <c r="AQ503" s="102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02"/>
      <c r="AK504" s="1"/>
      <c r="AL504" s="102"/>
      <c r="AM504" s="102"/>
      <c r="AN504" s="102"/>
      <c r="AO504" s="102"/>
      <c r="AP504" s="102"/>
      <c r="AQ504" s="102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02"/>
      <c r="AK505" s="1"/>
      <c r="AL505" s="102"/>
      <c r="AM505" s="102"/>
      <c r="AN505" s="102"/>
      <c r="AO505" s="102"/>
      <c r="AP505" s="102"/>
      <c r="AQ505" s="102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02"/>
      <c r="AK506" s="1"/>
      <c r="AL506" s="102"/>
      <c r="AM506" s="102"/>
      <c r="AN506" s="102"/>
      <c r="AO506" s="102"/>
      <c r="AP506" s="102"/>
      <c r="AQ506" s="102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02"/>
      <c r="AK507" s="1"/>
      <c r="AL507" s="102"/>
      <c r="AM507" s="102"/>
      <c r="AN507" s="102"/>
      <c r="AO507" s="102"/>
      <c r="AP507" s="102"/>
      <c r="AQ507" s="102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02"/>
      <c r="AK508" s="1"/>
      <c r="AL508" s="102"/>
      <c r="AM508" s="102"/>
      <c r="AN508" s="102"/>
      <c r="AO508" s="102"/>
      <c r="AP508" s="102"/>
      <c r="AQ508" s="102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02"/>
      <c r="AK509" s="1"/>
      <c r="AL509" s="102"/>
      <c r="AM509" s="102"/>
      <c r="AN509" s="102"/>
      <c r="AO509" s="102"/>
      <c r="AP509" s="102"/>
      <c r="AQ509" s="102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02"/>
      <c r="AK510" s="1"/>
      <c r="AL510" s="102"/>
      <c r="AM510" s="102"/>
      <c r="AN510" s="102"/>
      <c r="AO510" s="102"/>
      <c r="AP510" s="102"/>
      <c r="AQ510" s="102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02"/>
      <c r="AK511" s="1"/>
      <c r="AL511" s="102"/>
      <c r="AM511" s="102"/>
      <c r="AN511" s="102"/>
      <c r="AO511" s="102"/>
      <c r="AP511" s="102"/>
      <c r="AQ511" s="102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02"/>
      <c r="AK512" s="1"/>
      <c r="AL512" s="102"/>
      <c r="AM512" s="102"/>
      <c r="AN512" s="102"/>
      <c r="AO512" s="102"/>
      <c r="AP512" s="102"/>
      <c r="AQ512" s="102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02"/>
      <c r="AK513" s="1"/>
      <c r="AL513" s="102"/>
      <c r="AM513" s="102"/>
      <c r="AN513" s="102"/>
      <c r="AO513" s="102"/>
      <c r="AP513" s="102"/>
      <c r="AQ513" s="102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02"/>
      <c r="AK514" s="1"/>
      <c r="AL514" s="102"/>
      <c r="AM514" s="102"/>
      <c r="AN514" s="102"/>
      <c r="AO514" s="102"/>
      <c r="AP514" s="102"/>
      <c r="AQ514" s="102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02"/>
      <c r="AK515" s="1"/>
      <c r="AL515" s="102"/>
      <c r="AM515" s="102"/>
      <c r="AN515" s="102"/>
      <c r="AO515" s="102"/>
      <c r="AP515" s="102"/>
      <c r="AQ515" s="102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02"/>
      <c r="AK516" s="1"/>
      <c r="AL516" s="102"/>
      <c r="AM516" s="102"/>
      <c r="AN516" s="102"/>
      <c r="AO516" s="102"/>
      <c r="AP516" s="102"/>
      <c r="AQ516" s="102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02"/>
      <c r="AK517" s="1"/>
      <c r="AL517" s="102"/>
      <c r="AM517" s="102"/>
      <c r="AN517" s="102"/>
      <c r="AO517" s="102"/>
      <c r="AP517" s="102"/>
      <c r="AQ517" s="102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02"/>
      <c r="AK518" s="1"/>
      <c r="AL518" s="102"/>
      <c r="AM518" s="102"/>
      <c r="AN518" s="102"/>
      <c r="AO518" s="102"/>
      <c r="AP518" s="102"/>
      <c r="AQ518" s="102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02"/>
      <c r="AK519" s="1"/>
      <c r="AL519" s="102"/>
      <c r="AM519" s="102"/>
      <c r="AN519" s="102"/>
      <c r="AO519" s="102"/>
      <c r="AP519" s="102"/>
      <c r="AQ519" s="102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02"/>
      <c r="AK520" s="1"/>
      <c r="AL520" s="102"/>
      <c r="AM520" s="102"/>
      <c r="AN520" s="102"/>
      <c r="AO520" s="102"/>
      <c r="AP520" s="102"/>
      <c r="AQ520" s="102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02"/>
      <c r="AK521" s="1"/>
      <c r="AL521" s="102"/>
      <c r="AM521" s="102"/>
      <c r="AN521" s="102"/>
      <c r="AO521" s="102"/>
      <c r="AP521" s="102"/>
      <c r="AQ521" s="102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02"/>
      <c r="AK522" s="1"/>
      <c r="AL522" s="102"/>
      <c r="AM522" s="102"/>
      <c r="AN522" s="102"/>
      <c r="AO522" s="102"/>
      <c r="AP522" s="102"/>
      <c r="AQ522" s="102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02"/>
      <c r="AK523" s="1"/>
      <c r="AL523" s="102"/>
      <c r="AM523" s="102"/>
      <c r="AN523" s="102"/>
      <c r="AO523" s="102"/>
      <c r="AP523" s="102"/>
      <c r="AQ523" s="102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02"/>
      <c r="AK524" s="1"/>
      <c r="AL524" s="102"/>
      <c r="AM524" s="102"/>
      <c r="AN524" s="102"/>
      <c r="AO524" s="102"/>
      <c r="AP524" s="102"/>
      <c r="AQ524" s="102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02"/>
      <c r="AK525" s="1"/>
      <c r="AL525" s="102"/>
      <c r="AM525" s="102"/>
      <c r="AN525" s="102"/>
      <c r="AO525" s="102"/>
      <c r="AP525" s="102"/>
      <c r="AQ525" s="102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02"/>
      <c r="AK526" s="1"/>
      <c r="AL526" s="102"/>
      <c r="AM526" s="102"/>
      <c r="AN526" s="102"/>
      <c r="AO526" s="102"/>
      <c r="AP526" s="102"/>
      <c r="AQ526" s="102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02"/>
      <c r="AK527" s="1"/>
      <c r="AL527" s="102"/>
      <c r="AM527" s="102"/>
      <c r="AN527" s="102"/>
      <c r="AO527" s="102"/>
      <c r="AP527" s="102"/>
      <c r="AQ527" s="102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02"/>
      <c r="AK528" s="1"/>
      <c r="AL528" s="102"/>
      <c r="AM528" s="102"/>
      <c r="AN528" s="102"/>
      <c r="AO528" s="102"/>
      <c r="AP528" s="102"/>
      <c r="AQ528" s="102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02"/>
      <c r="AK529" s="1"/>
      <c r="AL529" s="102"/>
      <c r="AM529" s="102"/>
      <c r="AN529" s="102"/>
      <c r="AO529" s="102"/>
      <c r="AP529" s="102"/>
      <c r="AQ529" s="102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02"/>
      <c r="AK530" s="1"/>
      <c r="AL530" s="102"/>
      <c r="AM530" s="102"/>
      <c r="AN530" s="102"/>
      <c r="AO530" s="102"/>
      <c r="AP530" s="102"/>
      <c r="AQ530" s="102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02"/>
      <c r="AK531" s="1"/>
      <c r="AL531" s="102"/>
      <c r="AM531" s="102"/>
      <c r="AN531" s="102"/>
      <c r="AO531" s="102"/>
      <c r="AP531" s="102"/>
      <c r="AQ531" s="102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02"/>
      <c r="AK532" s="1"/>
      <c r="AL532" s="102"/>
      <c r="AM532" s="102"/>
      <c r="AN532" s="102"/>
      <c r="AO532" s="102"/>
      <c r="AP532" s="102"/>
      <c r="AQ532" s="102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02"/>
      <c r="AK533" s="1"/>
      <c r="AL533" s="102"/>
      <c r="AM533" s="102"/>
      <c r="AN533" s="102"/>
      <c r="AO533" s="102"/>
      <c r="AP533" s="102"/>
      <c r="AQ533" s="102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02"/>
      <c r="AK534" s="1"/>
      <c r="AL534" s="102"/>
      <c r="AM534" s="102"/>
      <c r="AN534" s="102"/>
      <c r="AO534" s="102"/>
      <c r="AP534" s="102"/>
      <c r="AQ534" s="102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02"/>
      <c r="AK535" s="1"/>
      <c r="AL535" s="102"/>
      <c r="AM535" s="102"/>
      <c r="AN535" s="102"/>
      <c r="AO535" s="102"/>
      <c r="AP535" s="102"/>
      <c r="AQ535" s="102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02"/>
      <c r="AK536" s="1"/>
      <c r="AL536" s="102"/>
      <c r="AM536" s="102"/>
      <c r="AN536" s="102"/>
      <c r="AO536" s="102"/>
      <c r="AP536" s="102"/>
      <c r="AQ536" s="102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02"/>
      <c r="AK537" s="1"/>
      <c r="AL537" s="102"/>
      <c r="AM537" s="102"/>
      <c r="AN537" s="102"/>
      <c r="AO537" s="102"/>
      <c r="AP537" s="102"/>
      <c r="AQ537" s="102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02"/>
      <c r="AK538" s="1"/>
      <c r="AL538" s="102"/>
      <c r="AM538" s="102"/>
      <c r="AN538" s="102"/>
      <c r="AO538" s="102"/>
      <c r="AP538" s="102"/>
      <c r="AQ538" s="102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02"/>
      <c r="AK539" s="1"/>
      <c r="AL539" s="102"/>
      <c r="AM539" s="102"/>
      <c r="AN539" s="102"/>
      <c r="AO539" s="102"/>
      <c r="AP539" s="102"/>
      <c r="AQ539" s="102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02"/>
      <c r="AK540" s="1"/>
      <c r="AL540" s="102"/>
      <c r="AM540" s="102"/>
      <c r="AN540" s="102"/>
      <c r="AO540" s="102"/>
      <c r="AP540" s="102"/>
      <c r="AQ540" s="102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02"/>
      <c r="AK541" s="1"/>
      <c r="AL541" s="102"/>
      <c r="AM541" s="102"/>
      <c r="AN541" s="102"/>
      <c r="AO541" s="102"/>
      <c r="AP541" s="102"/>
      <c r="AQ541" s="102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02"/>
      <c r="AK542" s="1"/>
      <c r="AL542" s="102"/>
      <c r="AM542" s="102"/>
      <c r="AN542" s="102"/>
      <c r="AO542" s="102"/>
      <c r="AP542" s="102"/>
      <c r="AQ542" s="102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02"/>
      <c r="AK543" s="1"/>
      <c r="AL543" s="102"/>
      <c r="AM543" s="102"/>
      <c r="AN543" s="102"/>
      <c r="AO543" s="102"/>
      <c r="AP543" s="102"/>
      <c r="AQ543" s="102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02"/>
      <c r="AK544" s="1"/>
      <c r="AL544" s="102"/>
      <c r="AM544" s="102"/>
      <c r="AN544" s="102"/>
      <c r="AO544" s="102"/>
      <c r="AP544" s="102"/>
      <c r="AQ544" s="102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02"/>
      <c r="AK545" s="1"/>
      <c r="AL545" s="102"/>
      <c r="AM545" s="102"/>
      <c r="AN545" s="102"/>
      <c r="AO545" s="102"/>
      <c r="AP545" s="102"/>
      <c r="AQ545" s="102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02"/>
      <c r="AK546" s="1"/>
      <c r="AL546" s="102"/>
      <c r="AM546" s="102"/>
      <c r="AN546" s="102"/>
      <c r="AO546" s="102"/>
      <c r="AP546" s="102"/>
      <c r="AQ546" s="102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02"/>
      <c r="AK547" s="1"/>
      <c r="AL547" s="102"/>
      <c r="AM547" s="102"/>
      <c r="AN547" s="102"/>
      <c r="AO547" s="102"/>
      <c r="AP547" s="102"/>
      <c r="AQ547" s="102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02"/>
      <c r="AK548" s="1"/>
      <c r="AL548" s="102"/>
      <c r="AM548" s="102"/>
      <c r="AN548" s="102"/>
      <c r="AO548" s="102"/>
      <c r="AP548" s="102"/>
      <c r="AQ548" s="102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02"/>
      <c r="AK549" s="1"/>
      <c r="AL549" s="102"/>
      <c r="AM549" s="102"/>
      <c r="AN549" s="102"/>
      <c r="AO549" s="102"/>
      <c r="AP549" s="102"/>
      <c r="AQ549" s="102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02"/>
      <c r="AK550" s="1"/>
      <c r="AL550" s="102"/>
      <c r="AM550" s="102"/>
      <c r="AN550" s="102"/>
      <c r="AO550" s="102"/>
      <c r="AP550" s="102"/>
      <c r="AQ550" s="102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02"/>
      <c r="AK551" s="1"/>
      <c r="AL551" s="102"/>
      <c r="AM551" s="102"/>
      <c r="AN551" s="102"/>
      <c r="AO551" s="102"/>
      <c r="AP551" s="102"/>
      <c r="AQ551" s="102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02"/>
      <c r="AK552" s="1"/>
      <c r="AL552" s="102"/>
      <c r="AM552" s="102"/>
      <c r="AN552" s="102"/>
      <c r="AO552" s="102"/>
      <c r="AP552" s="102"/>
      <c r="AQ552" s="102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02"/>
      <c r="AK553" s="1"/>
      <c r="AL553" s="102"/>
      <c r="AM553" s="102"/>
      <c r="AN553" s="102"/>
      <c r="AO553" s="102"/>
      <c r="AP553" s="102"/>
      <c r="AQ553" s="102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02"/>
      <c r="AK554" s="1"/>
      <c r="AL554" s="102"/>
      <c r="AM554" s="102"/>
      <c r="AN554" s="102"/>
      <c r="AO554" s="102"/>
      <c r="AP554" s="102"/>
      <c r="AQ554" s="102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02"/>
      <c r="AK555" s="1"/>
      <c r="AL555" s="102"/>
      <c r="AM555" s="102"/>
      <c r="AN555" s="102"/>
      <c r="AO555" s="102"/>
      <c r="AP555" s="102"/>
      <c r="AQ555" s="102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02"/>
      <c r="AK556" s="1"/>
      <c r="AL556" s="102"/>
      <c r="AM556" s="102"/>
      <c r="AN556" s="102"/>
      <c r="AO556" s="102"/>
      <c r="AP556" s="102"/>
      <c r="AQ556" s="102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02"/>
      <c r="AK557" s="1"/>
      <c r="AL557" s="102"/>
      <c r="AM557" s="102"/>
      <c r="AN557" s="102"/>
      <c r="AO557" s="102"/>
      <c r="AP557" s="102"/>
      <c r="AQ557" s="102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02"/>
      <c r="AK558" s="1"/>
      <c r="AL558" s="102"/>
      <c r="AM558" s="102"/>
      <c r="AN558" s="102"/>
      <c r="AO558" s="102"/>
      <c r="AP558" s="102"/>
      <c r="AQ558" s="102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02"/>
      <c r="AK559" s="1"/>
      <c r="AL559" s="102"/>
      <c r="AM559" s="102"/>
      <c r="AN559" s="102"/>
      <c r="AO559" s="102"/>
      <c r="AP559" s="102"/>
      <c r="AQ559" s="102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02"/>
      <c r="AK560" s="1"/>
      <c r="AL560" s="102"/>
      <c r="AM560" s="102"/>
      <c r="AN560" s="102"/>
      <c r="AO560" s="102"/>
      <c r="AP560" s="102"/>
      <c r="AQ560" s="102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02"/>
      <c r="AK561" s="1"/>
      <c r="AL561" s="102"/>
      <c r="AM561" s="102"/>
      <c r="AN561" s="102"/>
      <c r="AO561" s="102"/>
      <c r="AP561" s="102"/>
      <c r="AQ561" s="102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02"/>
      <c r="AK562" s="1"/>
      <c r="AL562" s="102"/>
      <c r="AM562" s="102"/>
      <c r="AN562" s="102"/>
      <c r="AO562" s="102"/>
      <c r="AP562" s="102"/>
      <c r="AQ562" s="102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02"/>
      <c r="AK563" s="1"/>
      <c r="AL563" s="102"/>
      <c r="AM563" s="102"/>
      <c r="AN563" s="102"/>
      <c r="AO563" s="102"/>
      <c r="AP563" s="102"/>
      <c r="AQ563" s="102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02"/>
      <c r="AK564" s="1"/>
      <c r="AL564" s="102"/>
      <c r="AM564" s="102"/>
      <c r="AN564" s="102"/>
      <c r="AO564" s="102"/>
      <c r="AP564" s="102"/>
      <c r="AQ564" s="102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02"/>
      <c r="AK565" s="1"/>
      <c r="AL565" s="102"/>
      <c r="AM565" s="102"/>
      <c r="AN565" s="102"/>
      <c r="AO565" s="102"/>
      <c r="AP565" s="102"/>
      <c r="AQ565" s="102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02"/>
      <c r="AK566" s="1"/>
      <c r="AL566" s="102"/>
      <c r="AM566" s="102"/>
      <c r="AN566" s="102"/>
      <c r="AO566" s="102"/>
      <c r="AP566" s="102"/>
      <c r="AQ566" s="102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02"/>
      <c r="AK567" s="1"/>
      <c r="AL567" s="102"/>
      <c r="AM567" s="102"/>
      <c r="AN567" s="102"/>
      <c r="AO567" s="102"/>
      <c r="AP567" s="102"/>
      <c r="AQ567" s="102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02"/>
      <c r="AK568" s="1"/>
      <c r="AL568" s="102"/>
      <c r="AM568" s="102"/>
      <c r="AN568" s="102"/>
      <c r="AO568" s="102"/>
      <c r="AP568" s="102"/>
      <c r="AQ568" s="102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02"/>
      <c r="AK569" s="1"/>
      <c r="AL569" s="102"/>
      <c r="AM569" s="102"/>
      <c r="AN569" s="102"/>
      <c r="AO569" s="102"/>
      <c r="AP569" s="102"/>
      <c r="AQ569" s="102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02"/>
      <c r="AK570" s="1"/>
      <c r="AL570" s="102"/>
      <c r="AM570" s="102"/>
      <c r="AN570" s="102"/>
      <c r="AO570" s="102"/>
      <c r="AP570" s="102"/>
      <c r="AQ570" s="102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02"/>
      <c r="AK571" s="1"/>
      <c r="AL571" s="102"/>
      <c r="AM571" s="102"/>
      <c r="AN571" s="102"/>
      <c r="AO571" s="102"/>
      <c r="AP571" s="102"/>
      <c r="AQ571" s="102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02"/>
      <c r="AK572" s="1"/>
      <c r="AL572" s="102"/>
      <c r="AM572" s="102"/>
      <c r="AN572" s="102"/>
      <c r="AO572" s="102"/>
      <c r="AP572" s="102"/>
      <c r="AQ572" s="102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02"/>
      <c r="AK573" s="1"/>
      <c r="AL573" s="102"/>
      <c r="AM573" s="102"/>
      <c r="AN573" s="102"/>
      <c r="AO573" s="102"/>
      <c r="AP573" s="102"/>
      <c r="AQ573" s="102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02"/>
      <c r="AK574" s="1"/>
      <c r="AL574" s="102"/>
      <c r="AM574" s="102"/>
      <c r="AN574" s="102"/>
      <c r="AO574" s="102"/>
      <c r="AP574" s="102"/>
      <c r="AQ574" s="102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02"/>
      <c r="AK575" s="1"/>
      <c r="AL575" s="102"/>
      <c r="AM575" s="102"/>
      <c r="AN575" s="102"/>
      <c r="AO575" s="102"/>
      <c r="AP575" s="102"/>
      <c r="AQ575" s="102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02"/>
      <c r="AK576" s="1"/>
      <c r="AL576" s="102"/>
      <c r="AM576" s="102"/>
      <c r="AN576" s="102"/>
      <c r="AO576" s="102"/>
      <c r="AP576" s="102"/>
      <c r="AQ576" s="102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02"/>
      <c r="AK577" s="1"/>
      <c r="AL577" s="102"/>
      <c r="AM577" s="102"/>
      <c r="AN577" s="102"/>
      <c r="AO577" s="102"/>
      <c r="AP577" s="102"/>
      <c r="AQ577" s="102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02"/>
      <c r="AK578" s="1"/>
      <c r="AL578" s="102"/>
      <c r="AM578" s="102"/>
      <c r="AN578" s="102"/>
      <c r="AO578" s="102"/>
      <c r="AP578" s="102"/>
      <c r="AQ578" s="102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02"/>
      <c r="AK579" s="1"/>
      <c r="AL579" s="102"/>
      <c r="AM579" s="102"/>
      <c r="AN579" s="102"/>
      <c r="AO579" s="102"/>
      <c r="AP579" s="102"/>
      <c r="AQ579" s="102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02"/>
      <c r="AK580" s="1"/>
      <c r="AL580" s="102"/>
      <c r="AM580" s="102"/>
      <c r="AN580" s="102"/>
      <c r="AO580" s="102"/>
      <c r="AP580" s="102"/>
      <c r="AQ580" s="102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02"/>
      <c r="AK581" s="1"/>
      <c r="AL581" s="102"/>
      <c r="AM581" s="102"/>
      <c r="AN581" s="102"/>
      <c r="AO581" s="102"/>
      <c r="AP581" s="102"/>
      <c r="AQ581" s="102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02"/>
      <c r="AK582" s="1"/>
      <c r="AL582" s="102"/>
      <c r="AM582" s="102"/>
      <c r="AN582" s="102"/>
      <c r="AO582" s="102"/>
      <c r="AP582" s="102"/>
      <c r="AQ582" s="102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02"/>
      <c r="AK583" s="1"/>
      <c r="AL583" s="102"/>
      <c r="AM583" s="102"/>
      <c r="AN583" s="102"/>
      <c r="AO583" s="102"/>
      <c r="AP583" s="102"/>
      <c r="AQ583" s="102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02"/>
      <c r="AK584" s="1"/>
      <c r="AL584" s="102"/>
      <c r="AM584" s="102"/>
      <c r="AN584" s="102"/>
      <c r="AO584" s="102"/>
      <c r="AP584" s="102"/>
      <c r="AQ584" s="102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02"/>
      <c r="AK585" s="1"/>
      <c r="AL585" s="102"/>
      <c r="AM585" s="102"/>
      <c r="AN585" s="102"/>
      <c r="AO585" s="102"/>
      <c r="AP585" s="102"/>
      <c r="AQ585" s="102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02"/>
      <c r="AK586" s="1"/>
      <c r="AL586" s="102"/>
      <c r="AM586" s="102"/>
      <c r="AN586" s="102"/>
      <c r="AO586" s="102"/>
      <c r="AP586" s="102"/>
      <c r="AQ586" s="102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02"/>
      <c r="AK587" s="1"/>
      <c r="AL587" s="102"/>
      <c r="AM587" s="102"/>
      <c r="AN587" s="102"/>
      <c r="AO587" s="102"/>
      <c r="AP587" s="102"/>
      <c r="AQ587" s="102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02"/>
      <c r="AK588" s="1"/>
      <c r="AL588" s="102"/>
      <c r="AM588" s="102"/>
      <c r="AN588" s="102"/>
      <c r="AO588" s="102"/>
      <c r="AP588" s="102"/>
      <c r="AQ588" s="102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02"/>
      <c r="AK589" s="1"/>
      <c r="AL589" s="102"/>
      <c r="AM589" s="102"/>
      <c r="AN589" s="102"/>
      <c r="AO589" s="102"/>
      <c r="AP589" s="102"/>
      <c r="AQ589" s="102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02"/>
      <c r="AK590" s="1"/>
      <c r="AL590" s="102"/>
      <c r="AM590" s="102"/>
      <c r="AN590" s="102"/>
      <c r="AO590" s="102"/>
      <c r="AP590" s="102"/>
      <c r="AQ590" s="102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02"/>
      <c r="AK591" s="1"/>
      <c r="AL591" s="102"/>
      <c r="AM591" s="102"/>
      <c r="AN591" s="102"/>
      <c r="AO591" s="102"/>
      <c r="AP591" s="102"/>
      <c r="AQ591" s="102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02"/>
      <c r="AK592" s="1"/>
      <c r="AL592" s="102"/>
      <c r="AM592" s="102"/>
      <c r="AN592" s="102"/>
      <c r="AO592" s="102"/>
      <c r="AP592" s="102"/>
      <c r="AQ592" s="102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02"/>
      <c r="AK593" s="1"/>
      <c r="AL593" s="102"/>
      <c r="AM593" s="102"/>
      <c r="AN593" s="102"/>
      <c r="AO593" s="102"/>
      <c r="AP593" s="102"/>
      <c r="AQ593" s="102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02"/>
      <c r="AK594" s="1"/>
      <c r="AL594" s="102"/>
      <c r="AM594" s="102"/>
      <c r="AN594" s="102"/>
      <c r="AO594" s="102"/>
      <c r="AP594" s="102"/>
      <c r="AQ594" s="102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02"/>
      <c r="AK595" s="1"/>
      <c r="AL595" s="102"/>
      <c r="AM595" s="102"/>
      <c r="AN595" s="102"/>
      <c r="AO595" s="102"/>
      <c r="AP595" s="102"/>
      <c r="AQ595" s="102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02"/>
      <c r="AK596" s="1"/>
      <c r="AL596" s="102"/>
      <c r="AM596" s="102"/>
      <c r="AN596" s="102"/>
      <c r="AO596" s="102"/>
      <c r="AP596" s="102"/>
      <c r="AQ596" s="102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02"/>
      <c r="AK597" s="1"/>
      <c r="AL597" s="102"/>
      <c r="AM597" s="102"/>
      <c r="AN597" s="102"/>
      <c r="AO597" s="102"/>
      <c r="AP597" s="102"/>
      <c r="AQ597" s="102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02"/>
      <c r="AK598" s="1"/>
      <c r="AL598" s="102"/>
      <c r="AM598" s="102"/>
      <c r="AN598" s="102"/>
      <c r="AO598" s="102"/>
      <c r="AP598" s="102"/>
      <c r="AQ598" s="102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02"/>
      <c r="AK599" s="1"/>
      <c r="AL599" s="102"/>
      <c r="AM599" s="102"/>
      <c r="AN599" s="102"/>
      <c r="AO599" s="102"/>
      <c r="AP599" s="102"/>
      <c r="AQ599" s="102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02"/>
      <c r="AK600" s="1"/>
      <c r="AL600" s="102"/>
      <c r="AM600" s="102"/>
      <c r="AN600" s="102"/>
      <c r="AO600" s="102"/>
      <c r="AP600" s="102"/>
      <c r="AQ600" s="102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02"/>
      <c r="AK601" s="1"/>
      <c r="AL601" s="102"/>
      <c r="AM601" s="102"/>
      <c r="AN601" s="102"/>
      <c r="AO601" s="102"/>
      <c r="AP601" s="102"/>
      <c r="AQ601" s="102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02"/>
      <c r="AK602" s="1"/>
      <c r="AL602" s="102"/>
      <c r="AM602" s="102"/>
      <c r="AN602" s="102"/>
      <c r="AO602" s="102"/>
      <c r="AP602" s="102"/>
      <c r="AQ602" s="102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02"/>
      <c r="AK603" s="1"/>
      <c r="AL603" s="102"/>
      <c r="AM603" s="102"/>
      <c r="AN603" s="102"/>
      <c r="AO603" s="102"/>
      <c r="AP603" s="102"/>
      <c r="AQ603" s="102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02"/>
      <c r="AK604" s="1"/>
      <c r="AL604" s="102"/>
      <c r="AM604" s="102"/>
      <c r="AN604" s="102"/>
      <c r="AO604" s="102"/>
      <c r="AP604" s="102"/>
      <c r="AQ604" s="102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02"/>
      <c r="AK605" s="1"/>
      <c r="AL605" s="102"/>
      <c r="AM605" s="102"/>
      <c r="AN605" s="102"/>
      <c r="AO605" s="102"/>
      <c r="AP605" s="102"/>
      <c r="AQ605" s="102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02"/>
      <c r="AK606" s="1"/>
      <c r="AL606" s="102"/>
      <c r="AM606" s="102"/>
      <c r="AN606" s="102"/>
      <c r="AO606" s="102"/>
      <c r="AP606" s="102"/>
      <c r="AQ606" s="102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02"/>
      <c r="AK607" s="1"/>
      <c r="AL607" s="102"/>
      <c r="AM607" s="102"/>
      <c r="AN607" s="102"/>
      <c r="AO607" s="102"/>
      <c r="AP607" s="102"/>
      <c r="AQ607" s="102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02"/>
      <c r="AK608" s="1"/>
      <c r="AL608" s="102"/>
      <c r="AM608" s="102"/>
      <c r="AN608" s="102"/>
      <c r="AO608" s="102"/>
      <c r="AP608" s="102"/>
      <c r="AQ608" s="102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02"/>
      <c r="AK609" s="1"/>
      <c r="AL609" s="102"/>
      <c r="AM609" s="102"/>
      <c r="AN609" s="102"/>
      <c r="AO609" s="102"/>
      <c r="AP609" s="102"/>
      <c r="AQ609" s="102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02"/>
      <c r="AK610" s="1"/>
      <c r="AL610" s="102"/>
      <c r="AM610" s="102"/>
      <c r="AN610" s="102"/>
      <c r="AO610" s="102"/>
      <c r="AP610" s="102"/>
      <c r="AQ610" s="102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02"/>
      <c r="AK611" s="1"/>
      <c r="AL611" s="102"/>
      <c r="AM611" s="102"/>
      <c r="AN611" s="102"/>
      <c r="AO611" s="102"/>
      <c r="AP611" s="102"/>
      <c r="AQ611" s="102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02"/>
      <c r="AK612" s="1"/>
      <c r="AL612" s="102"/>
      <c r="AM612" s="102"/>
      <c r="AN612" s="102"/>
      <c r="AO612" s="102"/>
      <c r="AP612" s="102"/>
      <c r="AQ612" s="102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02"/>
      <c r="AK613" s="1"/>
      <c r="AL613" s="102"/>
      <c r="AM613" s="102"/>
      <c r="AN613" s="102"/>
      <c r="AO613" s="102"/>
      <c r="AP613" s="102"/>
      <c r="AQ613" s="102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02"/>
      <c r="AK614" s="1"/>
      <c r="AL614" s="102"/>
      <c r="AM614" s="102"/>
      <c r="AN614" s="102"/>
      <c r="AO614" s="102"/>
      <c r="AP614" s="102"/>
      <c r="AQ614" s="102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02"/>
      <c r="AK615" s="1"/>
      <c r="AL615" s="102"/>
      <c r="AM615" s="102"/>
      <c r="AN615" s="102"/>
      <c r="AO615" s="102"/>
      <c r="AP615" s="102"/>
      <c r="AQ615" s="102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02"/>
      <c r="AK616" s="1"/>
      <c r="AL616" s="102"/>
      <c r="AM616" s="102"/>
      <c r="AN616" s="102"/>
      <c r="AO616" s="102"/>
      <c r="AP616" s="102"/>
      <c r="AQ616" s="102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02"/>
      <c r="AK617" s="1"/>
      <c r="AL617" s="102"/>
      <c r="AM617" s="102"/>
      <c r="AN617" s="102"/>
      <c r="AO617" s="102"/>
      <c r="AP617" s="102"/>
      <c r="AQ617" s="102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02"/>
      <c r="AK618" s="1"/>
      <c r="AL618" s="102"/>
      <c r="AM618" s="102"/>
      <c r="AN618" s="102"/>
      <c r="AO618" s="102"/>
      <c r="AP618" s="102"/>
      <c r="AQ618" s="102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02"/>
      <c r="AK619" s="1"/>
      <c r="AL619" s="102"/>
      <c r="AM619" s="102"/>
      <c r="AN619" s="102"/>
      <c r="AO619" s="102"/>
      <c r="AP619" s="102"/>
      <c r="AQ619" s="102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02"/>
      <c r="AK620" s="1"/>
      <c r="AL620" s="102"/>
      <c r="AM620" s="102"/>
      <c r="AN620" s="102"/>
      <c r="AO620" s="102"/>
      <c r="AP620" s="102"/>
      <c r="AQ620" s="102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02"/>
      <c r="AK621" s="1"/>
      <c r="AL621" s="102"/>
      <c r="AM621" s="102"/>
      <c r="AN621" s="102"/>
      <c r="AO621" s="102"/>
      <c r="AP621" s="102"/>
      <c r="AQ621" s="102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02"/>
      <c r="AK622" s="1"/>
      <c r="AL622" s="102"/>
      <c r="AM622" s="102"/>
      <c r="AN622" s="102"/>
      <c r="AO622" s="102"/>
      <c r="AP622" s="102"/>
      <c r="AQ622" s="102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02"/>
      <c r="AK623" s="1"/>
      <c r="AL623" s="102"/>
      <c r="AM623" s="102"/>
      <c r="AN623" s="102"/>
      <c r="AO623" s="102"/>
      <c r="AP623" s="102"/>
      <c r="AQ623" s="102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02"/>
      <c r="AK624" s="1"/>
      <c r="AL624" s="102"/>
      <c r="AM624" s="102"/>
      <c r="AN624" s="102"/>
      <c r="AO624" s="102"/>
      <c r="AP624" s="102"/>
      <c r="AQ624" s="102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02"/>
      <c r="AK625" s="1"/>
      <c r="AL625" s="102"/>
      <c r="AM625" s="102"/>
      <c r="AN625" s="102"/>
      <c r="AO625" s="102"/>
      <c r="AP625" s="102"/>
      <c r="AQ625" s="102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02"/>
      <c r="AK626" s="1"/>
      <c r="AL626" s="102"/>
      <c r="AM626" s="102"/>
      <c r="AN626" s="102"/>
      <c r="AO626" s="102"/>
      <c r="AP626" s="102"/>
      <c r="AQ626" s="102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02"/>
      <c r="AK627" s="1"/>
      <c r="AL627" s="102"/>
      <c r="AM627" s="102"/>
      <c r="AN627" s="102"/>
      <c r="AO627" s="102"/>
      <c r="AP627" s="102"/>
      <c r="AQ627" s="102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02"/>
      <c r="AK628" s="1"/>
      <c r="AL628" s="102"/>
      <c r="AM628" s="102"/>
      <c r="AN628" s="102"/>
      <c r="AO628" s="102"/>
      <c r="AP628" s="102"/>
      <c r="AQ628" s="102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02"/>
      <c r="AK629" s="1"/>
      <c r="AL629" s="102"/>
      <c r="AM629" s="102"/>
      <c r="AN629" s="102"/>
      <c r="AO629" s="102"/>
      <c r="AP629" s="102"/>
      <c r="AQ629" s="102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02"/>
      <c r="AK630" s="1"/>
      <c r="AL630" s="102"/>
      <c r="AM630" s="102"/>
      <c r="AN630" s="102"/>
      <c r="AO630" s="102"/>
      <c r="AP630" s="102"/>
      <c r="AQ630" s="102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02"/>
      <c r="AK631" s="1"/>
      <c r="AL631" s="102"/>
      <c r="AM631" s="102"/>
      <c r="AN631" s="102"/>
      <c r="AO631" s="102"/>
      <c r="AP631" s="102"/>
      <c r="AQ631" s="102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02"/>
      <c r="AK632" s="1"/>
      <c r="AL632" s="102"/>
      <c r="AM632" s="102"/>
      <c r="AN632" s="102"/>
      <c r="AO632" s="102"/>
      <c r="AP632" s="102"/>
      <c r="AQ632" s="102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02"/>
      <c r="AK633" s="1"/>
      <c r="AL633" s="102"/>
      <c r="AM633" s="102"/>
      <c r="AN633" s="102"/>
      <c r="AO633" s="102"/>
      <c r="AP633" s="102"/>
      <c r="AQ633" s="102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02"/>
      <c r="AK634" s="1"/>
      <c r="AL634" s="102"/>
      <c r="AM634" s="102"/>
      <c r="AN634" s="102"/>
      <c r="AO634" s="102"/>
      <c r="AP634" s="102"/>
      <c r="AQ634" s="102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02"/>
      <c r="AK635" s="1"/>
      <c r="AL635" s="102"/>
      <c r="AM635" s="102"/>
      <c r="AN635" s="102"/>
      <c r="AO635" s="102"/>
      <c r="AP635" s="102"/>
      <c r="AQ635" s="102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02"/>
      <c r="AK636" s="1"/>
      <c r="AL636" s="102"/>
      <c r="AM636" s="102"/>
      <c r="AN636" s="102"/>
      <c r="AO636" s="102"/>
      <c r="AP636" s="102"/>
      <c r="AQ636" s="102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02"/>
      <c r="AK637" s="1"/>
      <c r="AL637" s="102"/>
      <c r="AM637" s="102"/>
      <c r="AN637" s="102"/>
      <c r="AO637" s="102"/>
      <c r="AP637" s="102"/>
      <c r="AQ637" s="102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02"/>
      <c r="AK638" s="1"/>
      <c r="AL638" s="102"/>
      <c r="AM638" s="102"/>
      <c r="AN638" s="102"/>
      <c r="AO638" s="102"/>
      <c r="AP638" s="102"/>
      <c r="AQ638" s="102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02"/>
      <c r="AK639" s="1"/>
      <c r="AL639" s="102"/>
      <c r="AM639" s="102"/>
      <c r="AN639" s="102"/>
      <c r="AO639" s="102"/>
      <c r="AP639" s="102"/>
      <c r="AQ639" s="102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02"/>
      <c r="AK640" s="1"/>
      <c r="AL640" s="102"/>
      <c r="AM640" s="102"/>
      <c r="AN640" s="102"/>
      <c r="AO640" s="102"/>
      <c r="AP640" s="102"/>
      <c r="AQ640" s="102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02"/>
      <c r="AK641" s="1"/>
      <c r="AL641" s="102"/>
      <c r="AM641" s="102"/>
      <c r="AN641" s="102"/>
      <c r="AO641" s="102"/>
      <c r="AP641" s="102"/>
      <c r="AQ641" s="102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02"/>
      <c r="AK642" s="1"/>
      <c r="AL642" s="102"/>
      <c r="AM642" s="102"/>
      <c r="AN642" s="102"/>
      <c r="AO642" s="102"/>
      <c r="AP642" s="102"/>
      <c r="AQ642" s="102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02"/>
      <c r="AK643" s="1"/>
      <c r="AL643" s="102"/>
      <c r="AM643" s="102"/>
      <c r="AN643" s="102"/>
      <c r="AO643" s="102"/>
      <c r="AP643" s="102"/>
      <c r="AQ643" s="102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02"/>
      <c r="AK644" s="1"/>
      <c r="AL644" s="102"/>
      <c r="AM644" s="102"/>
      <c r="AN644" s="102"/>
      <c r="AO644" s="102"/>
      <c r="AP644" s="102"/>
      <c r="AQ644" s="102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02"/>
      <c r="AK645" s="1"/>
      <c r="AL645" s="102"/>
      <c r="AM645" s="102"/>
      <c r="AN645" s="102"/>
      <c r="AO645" s="102"/>
      <c r="AP645" s="102"/>
      <c r="AQ645" s="102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02"/>
      <c r="AK646" s="1"/>
      <c r="AL646" s="102"/>
      <c r="AM646" s="102"/>
      <c r="AN646" s="102"/>
      <c r="AO646" s="102"/>
      <c r="AP646" s="102"/>
      <c r="AQ646" s="102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02"/>
      <c r="AK647" s="1"/>
      <c r="AL647" s="102"/>
      <c r="AM647" s="102"/>
      <c r="AN647" s="102"/>
      <c r="AO647" s="102"/>
      <c r="AP647" s="102"/>
      <c r="AQ647" s="102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02"/>
      <c r="AK648" s="1"/>
      <c r="AL648" s="102"/>
      <c r="AM648" s="102"/>
      <c r="AN648" s="102"/>
      <c r="AO648" s="102"/>
      <c r="AP648" s="102"/>
      <c r="AQ648" s="102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02"/>
      <c r="AK649" s="1"/>
      <c r="AL649" s="102"/>
      <c r="AM649" s="102"/>
      <c r="AN649" s="102"/>
      <c r="AO649" s="102"/>
      <c r="AP649" s="102"/>
      <c r="AQ649" s="102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02"/>
      <c r="AK650" s="1"/>
      <c r="AL650" s="102"/>
      <c r="AM650" s="102"/>
      <c r="AN650" s="102"/>
      <c r="AO650" s="102"/>
      <c r="AP650" s="102"/>
      <c r="AQ650" s="102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02"/>
      <c r="AK651" s="1"/>
      <c r="AL651" s="102"/>
      <c r="AM651" s="102"/>
      <c r="AN651" s="102"/>
      <c r="AO651" s="102"/>
      <c r="AP651" s="102"/>
      <c r="AQ651" s="102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02"/>
      <c r="AK652" s="1"/>
      <c r="AL652" s="102"/>
      <c r="AM652" s="102"/>
      <c r="AN652" s="102"/>
      <c r="AO652" s="102"/>
      <c r="AP652" s="102"/>
      <c r="AQ652" s="102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02"/>
      <c r="AK653" s="1"/>
      <c r="AL653" s="102"/>
      <c r="AM653" s="102"/>
      <c r="AN653" s="102"/>
      <c r="AO653" s="102"/>
      <c r="AP653" s="102"/>
      <c r="AQ653" s="102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02"/>
      <c r="AK654" s="1"/>
      <c r="AL654" s="102"/>
      <c r="AM654" s="102"/>
      <c r="AN654" s="102"/>
      <c r="AO654" s="102"/>
      <c r="AP654" s="102"/>
      <c r="AQ654" s="102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02"/>
      <c r="AK655" s="1"/>
      <c r="AL655" s="102"/>
      <c r="AM655" s="102"/>
      <c r="AN655" s="102"/>
      <c r="AO655" s="102"/>
      <c r="AP655" s="102"/>
      <c r="AQ655" s="102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02"/>
      <c r="AK656" s="1"/>
      <c r="AL656" s="102"/>
      <c r="AM656" s="102"/>
      <c r="AN656" s="102"/>
      <c r="AO656" s="102"/>
      <c r="AP656" s="102"/>
      <c r="AQ656" s="102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02"/>
      <c r="AK657" s="1"/>
      <c r="AL657" s="102"/>
      <c r="AM657" s="102"/>
      <c r="AN657" s="102"/>
      <c r="AO657" s="102"/>
      <c r="AP657" s="102"/>
      <c r="AQ657" s="102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02"/>
      <c r="AK658" s="1"/>
      <c r="AL658" s="102"/>
      <c r="AM658" s="102"/>
      <c r="AN658" s="102"/>
      <c r="AO658" s="102"/>
      <c r="AP658" s="102"/>
      <c r="AQ658" s="102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02"/>
      <c r="AK659" s="1"/>
      <c r="AL659" s="102"/>
      <c r="AM659" s="102"/>
      <c r="AN659" s="102"/>
      <c r="AO659" s="102"/>
      <c r="AP659" s="102"/>
      <c r="AQ659" s="102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02"/>
      <c r="AK660" s="1"/>
      <c r="AL660" s="102"/>
      <c r="AM660" s="102"/>
      <c r="AN660" s="102"/>
      <c r="AO660" s="102"/>
      <c r="AP660" s="102"/>
      <c r="AQ660" s="102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02"/>
      <c r="AK661" s="1"/>
      <c r="AL661" s="102"/>
      <c r="AM661" s="102"/>
      <c r="AN661" s="102"/>
      <c r="AO661" s="102"/>
      <c r="AP661" s="102"/>
      <c r="AQ661" s="102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02"/>
      <c r="AK662" s="1"/>
      <c r="AL662" s="102"/>
      <c r="AM662" s="102"/>
      <c r="AN662" s="102"/>
      <c r="AO662" s="102"/>
      <c r="AP662" s="102"/>
      <c r="AQ662" s="102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02"/>
      <c r="AK663" s="1"/>
      <c r="AL663" s="102"/>
      <c r="AM663" s="102"/>
      <c r="AN663" s="102"/>
      <c r="AO663" s="102"/>
      <c r="AP663" s="102"/>
      <c r="AQ663" s="102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02"/>
      <c r="AK664" s="1"/>
      <c r="AL664" s="102"/>
      <c r="AM664" s="102"/>
      <c r="AN664" s="102"/>
      <c r="AO664" s="102"/>
      <c r="AP664" s="102"/>
      <c r="AQ664" s="102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02"/>
      <c r="AK665" s="1"/>
      <c r="AL665" s="102"/>
      <c r="AM665" s="102"/>
      <c r="AN665" s="102"/>
      <c r="AO665" s="102"/>
      <c r="AP665" s="102"/>
      <c r="AQ665" s="102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02"/>
      <c r="AK666" s="1"/>
      <c r="AL666" s="102"/>
      <c r="AM666" s="102"/>
      <c r="AN666" s="102"/>
      <c r="AO666" s="102"/>
      <c r="AP666" s="102"/>
      <c r="AQ666" s="102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02"/>
      <c r="AK667" s="1"/>
      <c r="AL667" s="102"/>
      <c r="AM667" s="102"/>
      <c r="AN667" s="102"/>
      <c r="AO667" s="102"/>
      <c r="AP667" s="102"/>
      <c r="AQ667" s="102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02"/>
      <c r="AK668" s="1"/>
      <c r="AL668" s="102"/>
      <c r="AM668" s="102"/>
      <c r="AN668" s="102"/>
      <c r="AO668" s="102"/>
      <c r="AP668" s="102"/>
      <c r="AQ668" s="102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02"/>
      <c r="AK669" s="1"/>
      <c r="AL669" s="102"/>
      <c r="AM669" s="102"/>
      <c r="AN669" s="102"/>
      <c r="AO669" s="102"/>
      <c r="AP669" s="102"/>
      <c r="AQ669" s="102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02"/>
      <c r="AK670" s="1"/>
      <c r="AL670" s="102"/>
      <c r="AM670" s="102"/>
      <c r="AN670" s="102"/>
      <c r="AO670" s="102"/>
      <c r="AP670" s="102"/>
      <c r="AQ670" s="102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02"/>
      <c r="AK671" s="1"/>
      <c r="AL671" s="102"/>
      <c r="AM671" s="102"/>
      <c r="AN671" s="102"/>
      <c r="AO671" s="102"/>
      <c r="AP671" s="102"/>
      <c r="AQ671" s="102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02"/>
      <c r="AK672" s="1"/>
      <c r="AL672" s="102"/>
      <c r="AM672" s="102"/>
      <c r="AN672" s="102"/>
      <c r="AO672" s="102"/>
      <c r="AP672" s="102"/>
      <c r="AQ672" s="102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02"/>
      <c r="AK673" s="1"/>
      <c r="AL673" s="102"/>
      <c r="AM673" s="102"/>
      <c r="AN673" s="102"/>
      <c r="AO673" s="102"/>
      <c r="AP673" s="102"/>
      <c r="AQ673" s="102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02"/>
      <c r="AK674" s="1"/>
      <c r="AL674" s="102"/>
      <c r="AM674" s="102"/>
      <c r="AN674" s="102"/>
      <c r="AO674" s="102"/>
      <c r="AP674" s="102"/>
      <c r="AQ674" s="102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02"/>
      <c r="AK675" s="1"/>
      <c r="AL675" s="102"/>
      <c r="AM675" s="102"/>
      <c r="AN675" s="102"/>
      <c r="AO675" s="102"/>
      <c r="AP675" s="102"/>
      <c r="AQ675" s="102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02"/>
      <c r="AK676" s="1"/>
      <c r="AL676" s="102"/>
      <c r="AM676" s="102"/>
      <c r="AN676" s="102"/>
      <c r="AO676" s="102"/>
      <c r="AP676" s="102"/>
      <c r="AQ676" s="102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02"/>
      <c r="AK677" s="1"/>
      <c r="AL677" s="102"/>
      <c r="AM677" s="102"/>
      <c r="AN677" s="102"/>
      <c r="AO677" s="102"/>
      <c r="AP677" s="102"/>
      <c r="AQ677" s="102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02"/>
      <c r="AK678" s="1"/>
      <c r="AL678" s="102"/>
      <c r="AM678" s="102"/>
      <c r="AN678" s="102"/>
      <c r="AO678" s="102"/>
      <c r="AP678" s="102"/>
      <c r="AQ678" s="102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02"/>
      <c r="AK679" s="1"/>
      <c r="AL679" s="102"/>
      <c r="AM679" s="102"/>
      <c r="AN679" s="102"/>
      <c r="AO679" s="102"/>
      <c r="AP679" s="102"/>
      <c r="AQ679" s="102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02"/>
      <c r="AK680" s="1"/>
      <c r="AL680" s="102"/>
      <c r="AM680" s="102"/>
      <c r="AN680" s="102"/>
      <c r="AO680" s="102"/>
      <c r="AP680" s="102"/>
      <c r="AQ680" s="102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02"/>
      <c r="AK681" s="1"/>
      <c r="AL681" s="102"/>
      <c r="AM681" s="102"/>
      <c r="AN681" s="102"/>
      <c r="AO681" s="102"/>
      <c r="AP681" s="102"/>
      <c r="AQ681" s="102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02"/>
      <c r="AK682" s="1"/>
      <c r="AL682" s="102"/>
      <c r="AM682" s="102"/>
      <c r="AN682" s="102"/>
      <c r="AO682" s="102"/>
      <c r="AP682" s="102"/>
      <c r="AQ682" s="102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02"/>
      <c r="AK683" s="1"/>
      <c r="AL683" s="102"/>
      <c r="AM683" s="102"/>
      <c r="AN683" s="102"/>
      <c r="AO683" s="102"/>
      <c r="AP683" s="102"/>
      <c r="AQ683" s="102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02"/>
      <c r="AK684" s="1"/>
      <c r="AL684" s="102"/>
      <c r="AM684" s="102"/>
      <c r="AN684" s="102"/>
      <c r="AO684" s="102"/>
      <c r="AP684" s="102"/>
      <c r="AQ684" s="102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02"/>
      <c r="AK685" s="1"/>
      <c r="AL685" s="102"/>
      <c r="AM685" s="102"/>
      <c r="AN685" s="102"/>
      <c r="AO685" s="102"/>
      <c r="AP685" s="102"/>
      <c r="AQ685" s="102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02"/>
      <c r="AK686" s="1"/>
      <c r="AL686" s="102"/>
      <c r="AM686" s="102"/>
      <c r="AN686" s="102"/>
      <c r="AO686" s="102"/>
      <c r="AP686" s="102"/>
      <c r="AQ686" s="102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02"/>
      <c r="AK687" s="1"/>
      <c r="AL687" s="102"/>
      <c r="AM687" s="102"/>
      <c r="AN687" s="102"/>
      <c r="AO687" s="102"/>
      <c r="AP687" s="102"/>
      <c r="AQ687" s="102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02"/>
      <c r="AK688" s="1"/>
      <c r="AL688" s="102"/>
      <c r="AM688" s="102"/>
      <c r="AN688" s="102"/>
      <c r="AO688" s="102"/>
      <c r="AP688" s="102"/>
      <c r="AQ688" s="102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02"/>
      <c r="AK689" s="1"/>
      <c r="AL689" s="102"/>
      <c r="AM689" s="102"/>
      <c r="AN689" s="102"/>
      <c r="AO689" s="102"/>
      <c r="AP689" s="102"/>
      <c r="AQ689" s="102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02"/>
      <c r="AK690" s="1"/>
      <c r="AL690" s="102"/>
      <c r="AM690" s="102"/>
      <c r="AN690" s="102"/>
      <c r="AO690" s="102"/>
      <c r="AP690" s="102"/>
      <c r="AQ690" s="102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02"/>
      <c r="AK691" s="1"/>
      <c r="AL691" s="102"/>
      <c r="AM691" s="102"/>
      <c r="AN691" s="102"/>
      <c r="AO691" s="102"/>
      <c r="AP691" s="102"/>
      <c r="AQ691" s="102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02"/>
      <c r="AK692" s="1"/>
      <c r="AL692" s="102"/>
      <c r="AM692" s="102"/>
      <c r="AN692" s="102"/>
      <c r="AO692" s="102"/>
      <c r="AP692" s="102"/>
      <c r="AQ692" s="102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02"/>
      <c r="AK693" s="1"/>
      <c r="AL693" s="102"/>
      <c r="AM693" s="102"/>
      <c r="AN693" s="102"/>
      <c r="AO693" s="102"/>
      <c r="AP693" s="102"/>
      <c r="AQ693" s="102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02"/>
      <c r="AK694" s="1"/>
      <c r="AL694" s="102"/>
      <c r="AM694" s="102"/>
      <c r="AN694" s="102"/>
      <c r="AO694" s="102"/>
      <c r="AP694" s="102"/>
      <c r="AQ694" s="102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02"/>
      <c r="AK695" s="1"/>
      <c r="AL695" s="102"/>
      <c r="AM695" s="102"/>
      <c r="AN695" s="102"/>
      <c r="AO695" s="102"/>
      <c r="AP695" s="102"/>
      <c r="AQ695" s="102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02"/>
      <c r="AK696" s="1"/>
      <c r="AL696" s="102"/>
      <c r="AM696" s="102"/>
      <c r="AN696" s="102"/>
      <c r="AO696" s="102"/>
      <c r="AP696" s="102"/>
      <c r="AQ696" s="102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02"/>
      <c r="AK697" s="1"/>
      <c r="AL697" s="102"/>
      <c r="AM697" s="102"/>
      <c r="AN697" s="102"/>
      <c r="AO697" s="102"/>
      <c r="AP697" s="102"/>
      <c r="AQ697" s="102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02"/>
      <c r="AK698" s="1"/>
      <c r="AL698" s="102"/>
      <c r="AM698" s="102"/>
      <c r="AN698" s="102"/>
      <c r="AO698" s="102"/>
      <c r="AP698" s="102"/>
      <c r="AQ698" s="102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02"/>
      <c r="AK699" s="1"/>
      <c r="AL699" s="102"/>
      <c r="AM699" s="102"/>
      <c r="AN699" s="102"/>
      <c r="AO699" s="102"/>
      <c r="AP699" s="102"/>
      <c r="AQ699" s="102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02"/>
      <c r="AK700" s="1"/>
      <c r="AL700" s="102"/>
      <c r="AM700" s="102"/>
      <c r="AN700" s="102"/>
      <c r="AO700" s="102"/>
      <c r="AP700" s="102"/>
      <c r="AQ700" s="102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02"/>
      <c r="AK701" s="1"/>
      <c r="AL701" s="102"/>
      <c r="AM701" s="102"/>
      <c r="AN701" s="102"/>
      <c r="AO701" s="102"/>
      <c r="AP701" s="102"/>
      <c r="AQ701" s="102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02"/>
      <c r="AK702" s="1"/>
      <c r="AL702" s="102"/>
      <c r="AM702" s="102"/>
      <c r="AN702" s="102"/>
      <c r="AO702" s="102"/>
      <c r="AP702" s="102"/>
      <c r="AQ702" s="102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02"/>
      <c r="AK703" s="1"/>
      <c r="AL703" s="102"/>
      <c r="AM703" s="102"/>
      <c r="AN703" s="102"/>
      <c r="AO703" s="102"/>
      <c r="AP703" s="102"/>
      <c r="AQ703" s="102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02"/>
      <c r="AK704" s="1"/>
      <c r="AL704" s="102"/>
      <c r="AM704" s="102"/>
      <c r="AN704" s="102"/>
      <c r="AO704" s="102"/>
      <c r="AP704" s="102"/>
      <c r="AQ704" s="102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02"/>
      <c r="AK705" s="1"/>
      <c r="AL705" s="102"/>
      <c r="AM705" s="102"/>
      <c r="AN705" s="102"/>
      <c r="AO705" s="102"/>
      <c r="AP705" s="102"/>
      <c r="AQ705" s="102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02"/>
      <c r="AK706" s="1"/>
      <c r="AL706" s="102"/>
      <c r="AM706" s="102"/>
      <c r="AN706" s="102"/>
      <c r="AO706" s="102"/>
      <c r="AP706" s="102"/>
      <c r="AQ706" s="102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02"/>
      <c r="AK707" s="1"/>
      <c r="AL707" s="102"/>
      <c r="AM707" s="102"/>
      <c r="AN707" s="102"/>
      <c r="AO707" s="102"/>
      <c r="AP707" s="102"/>
      <c r="AQ707" s="102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02"/>
      <c r="AK708" s="1"/>
      <c r="AL708" s="102"/>
      <c r="AM708" s="102"/>
      <c r="AN708" s="102"/>
      <c r="AO708" s="102"/>
      <c r="AP708" s="102"/>
      <c r="AQ708" s="102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02"/>
      <c r="AK709" s="1"/>
      <c r="AL709" s="102"/>
      <c r="AM709" s="102"/>
      <c r="AN709" s="102"/>
      <c r="AO709" s="102"/>
      <c r="AP709" s="102"/>
      <c r="AQ709" s="102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02"/>
      <c r="AK710" s="1"/>
      <c r="AL710" s="102"/>
      <c r="AM710" s="102"/>
      <c r="AN710" s="102"/>
      <c r="AO710" s="102"/>
      <c r="AP710" s="102"/>
      <c r="AQ710" s="102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02"/>
      <c r="AK711" s="1"/>
      <c r="AL711" s="102"/>
      <c r="AM711" s="102"/>
      <c r="AN711" s="102"/>
      <c r="AO711" s="102"/>
      <c r="AP711" s="102"/>
      <c r="AQ711" s="102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02"/>
      <c r="AK712" s="1"/>
      <c r="AL712" s="102"/>
      <c r="AM712" s="102"/>
      <c r="AN712" s="102"/>
      <c r="AO712" s="102"/>
      <c r="AP712" s="102"/>
      <c r="AQ712" s="102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02"/>
      <c r="AK713" s="1"/>
      <c r="AL713" s="102"/>
      <c r="AM713" s="102"/>
      <c r="AN713" s="102"/>
      <c r="AO713" s="102"/>
      <c r="AP713" s="102"/>
      <c r="AQ713" s="102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02"/>
      <c r="AK714" s="1"/>
      <c r="AL714" s="102"/>
      <c r="AM714" s="102"/>
      <c r="AN714" s="102"/>
      <c r="AO714" s="102"/>
      <c r="AP714" s="102"/>
      <c r="AQ714" s="102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02"/>
      <c r="AK715" s="1"/>
      <c r="AL715" s="102"/>
      <c r="AM715" s="102"/>
      <c r="AN715" s="102"/>
      <c r="AO715" s="102"/>
      <c r="AP715" s="102"/>
      <c r="AQ715" s="102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02"/>
      <c r="AK716" s="1"/>
      <c r="AL716" s="102"/>
      <c r="AM716" s="102"/>
      <c r="AN716" s="102"/>
      <c r="AO716" s="102"/>
      <c r="AP716" s="102"/>
      <c r="AQ716" s="102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02"/>
      <c r="AK717" s="1"/>
      <c r="AL717" s="102"/>
      <c r="AM717" s="102"/>
      <c r="AN717" s="102"/>
      <c r="AO717" s="102"/>
      <c r="AP717" s="102"/>
      <c r="AQ717" s="102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02"/>
      <c r="AK718" s="1"/>
      <c r="AL718" s="102"/>
      <c r="AM718" s="102"/>
      <c r="AN718" s="102"/>
      <c r="AO718" s="102"/>
      <c r="AP718" s="102"/>
      <c r="AQ718" s="102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02"/>
      <c r="AK719" s="1"/>
      <c r="AL719" s="102"/>
      <c r="AM719" s="102"/>
      <c r="AN719" s="102"/>
      <c r="AO719" s="102"/>
      <c r="AP719" s="102"/>
      <c r="AQ719" s="102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02"/>
      <c r="AK720" s="1"/>
      <c r="AL720" s="102"/>
      <c r="AM720" s="102"/>
      <c r="AN720" s="102"/>
      <c r="AO720" s="102"/>
      <c r="AP720" s="102"/>
      <c r="AQ720" s="102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02"/>
      <c r="AK721" s="1"/>
      <c r="AL721" s="102"/>
      <c r="AM721" s="102"/>
      <c r="AN721" s="102"/>
      <c r="AO721" s="102"/>
      <c r="AP721" s="102"/>
      <c r="AQ721" s="102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02"/>
      <c r="AK722" s="1"/>
      <c r="AL722" s="102"/>
      <c r="AM722" s="102"/>
      <c r="AN722" s="102"/>
      <c r="AO722" s="102"/>
      <c r="AP722" s="102"/>
      <c r="AQ722" s="102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02"/>
      <c r="AK723" s="1"/>
      <c r="AL723" s="102"/>
      <c r="AM723" s="102"/>
      <c r="AN723" s="102"/>
      <c r="AO723" s="102"/>
      <c r="AP723" s="102"/>
      <c r="AQ723" s="102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02"/>
      <c r="AK724" s="1"/>
      <c r="AL724" s="102"/>
      <c r="AM724" s="102"/>
      <c r="AN724" s="102"/>
      <c r="AO724" s="102"/>
      <c r="AP724" s="102"/>
      <c r="AQ724" s="102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02"/>
      <c r="AK725" s="1"/>
      <c r="AL725" s="102"/>
      <c r="AM725" s="102"/>
      <c r="AN725" s="102"/>
      <c r="AO725" s="102"/>
      <c r="AP725" s="102"/>
      <c r="AQ725" s="102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02"/>
      <c r="AK726" s="1"/>
      <c r="AL726" s="102"/>
      <c r="AM726" s="102"/>
      <c r="AN726" s="102"/>
      <c r="AO726" s="102"/>
      <c r="AP726" s="102"/>
      <c r="AQ726" s="102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02"/>
      <c r="AK727" s="1"/>
      <c r="AL727" s="102"/>
      <c r="AM727" s="102"/>
      <c r="AN727" s="102"/>
      <c r="AO727" s="102"/>
      <c r="AP727" s="102"/>
      <c r="AQ727" s="102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02"/>
      <c r="AK728" s="1"/>
      <c r="AL728" s="102"/>
      <c r="AM728" s="102"/>
      <c r="AN728" s="102"/>
      <c r="AO728" s="102"/>
      <c r="AP728" s="102"/>
      <c r="AQ728" s="102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02"/>
      <c r="AK729" s="1"/>
      <c r="AL729" s="102"/>
      <c r="AM729" s="102"/>
      <c r="AN729" s="102"/>
      <c r="AO729" s="102"/>
      <c r="AP729" s="102"/>
      <c r="AQ729" s="102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02"/>
      <c r="AK730" s="1"/>
      <c r="AL730" s="102"/>
      <c r="AM730" s="102"/>
      <c r="AN730" s="102"/>
      <c r="AO730" s="102"/>
      <c r="AP730" s="102"/>
      <c r="AQ730" s="102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02"/>
      <c r="AK731" s="1"/>
      <c r="AL731" s="102"/>
      <c r="AM731" s="102"/>
      <c r="AN731" s="102"/>
      <c r="AO731" s="102"/>
      <c r="AP731" s="102"/>
      <c r="AQ731" s="102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02"/>
      <c r="AK732" s="1"/>
      <c r="AL732" s="102"/>
      <c r="AM732" s="102"/>
      <c r="AN732" s="102"/>
      <c r="AO732" s="102"/>
      <c r="AP732" s="102"/>
      <c r="AQ732" s="102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02"/>
      <c r="AK733" s="1"/>
      <c r="AL733" s="102"/>
      <c r="AM733" s="102"/>
      <c r="AN733" s="102"/>
      <c r="AO733" s="102"/>
      <c r="AP733" s="102"/>
      <c r="AQ733" s="102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02"/>
      <c r="AK734" s="1"/>
      <c r="AL734" s="102"/>
      <c r="AM734" s="102"/>
      <c r="AN734" s="102"/>
      <c r="AO734" s="102"/>
      <c r="AP734" s="102"/>
      <c r="AQ734" s="102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02"/>
      <c r="AK735" s="1"/>
      <c r="AL735" s="102"/>
      <c r="AM735" s="102"/>
      <c r="AN735" s="102"/>
      <c r="AO735" s="102"/>
      <c r="AP735" s="102"/>
      <c r="AQ735" s="102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02"/>
      <c r="AK736" s="1"/>
      <c r="AL736" s="102"/>
      <c r="AM736" s="102"/>
      <c r="AN736" s="102"/>
      <c r="AO736" s="102"/>
      <c r="AP736" s="102"/>
      <c r="AQ736" s="102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02"/>
      <c r="AK737" s="1"/>
      <c r="AL737" s="102"/>
      <c r="AM737" s="102"/>
      <c r="AN737" s="102"/>
      <c r="AO737" s="102"/>
      <c r="AP737" s="102"/>
      <c r="AQ737" s="102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02"/>
      <c r="AK738" s="1"/>
      <c r="AL738" s="102"/>
      <c r="AM738" s="102"/>
      <c r="AN738" s="102"/>
      <c r="AO738" s="102"/>
      <c r="AP738" s="102"/>
      <c r="AQ738" s="102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02"/>
      <c r="AK739" s="1"/>
      <c r="AL739" s="102"/>
      <c r="AM739" s="102"/>
      <c r="AN739" s="102"/>
      <c r="AO739" s="102"/>
      <c r="AP739" s="102"/>
      <c r="AQ739" s="102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02"/>
      <c r="AK740" s="1"/>
      <c r="AL740" s="102"/>
      <c r="AM740" s="102"/>
      <c r="AN740" s="102"/>
      <c r="AO740" s="102"/>
      <c r="AP740" s="102"/>
      <c r="AQ740" s="102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02"/>
      <c r="AK741" s="1"/>
      <c r="AL741" s="102"/>
      <c r="AM741" s="102"/>
      <c r="AN741" s="102"/>
      <c r="AO741" s="102"/>
      <c r="AP741" s="102"/>
      <c r="AQ741" s="102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02"/>
      <c r="AK742" s="1"/>
      <c r="AL742" s="102"/>
      <c r="AM742" s="102"/>
      <c r="AN742" s="102"/>
      <c r="AO742" s="102"/>
      <c r="AP742" s="102"/>
      <c r="AQ742" s="102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02"/>
      <c r="AK743" s="1"/>
      <c r="AL743" s="102"/>
      <c r="AM743" s="102"/>
      <c r="AN743" s="102"/>
      <c r="AO743" s="102"/>
      <c r="AP743" s="102"/>
      <c r="AQ743" s="102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02"/>
      <c r="AK744" s="1"/>
      <c r="AL744" s="102"/>
      <c r="AM744" s="102"/>
      <c r="AN744" s="102"/>
      <c r="AO744" s="102"/>
      <c r="AP744" s="102"/>
      <c r="AQ744" s="102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02"/>
      <c r="AK745" s="1"/>
      <c r="AL745" s="102"/>
      <c r="AM745" s="102"/>
      <c r="AN745" s="102"/>
      <c r="AO745" s="102"/>
      <c r="AP745" s="102"/>
      <c r="AQ745" s="102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02"/>
      <c r="AK746" s="1"/>
      <c r="AL746" s="102"/>
      <c r="AM746" s="102"/>
      <c r="AN746" s="102"/>
      <c r="AO746" s="102"/>
      <c r="AP746" s="102"/>
      <c r="AQ746" s="102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02"/>
      <c r="AK747" s="1"/>
      <c r="AL747" s="102"/>
      <c r="AM747" s="102"/>
      <c r="AN747" s="102"/>
      <c r="AO747" s="102"/>
      <c r="AP747" s="102"/>
      <c r="AQ747" s="102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02"/>
      <c r="AK748" s="1"/>
      <c r="AL748" s="102"/>
      <c r="AM748" s="102"/>
      <c r="AN748" s="102"/>
      <c r="AO748" s="102"/>
      <c r="AP748" s="102"/>
      <c r="AQ748" s="102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02"/>
      <c r="AK749" s="1"/>
      <c r="AL749" s="102"/>
      <c r="AM749" s="102"/>
      <c r="AN749" s="102"/>
      <c r="AO749" s="102"/>
      <c r="AP749" s="102"/>
      <c r="AQ749" s="102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02"/>
      <c r="AK750" s="1"/>
      <c r="AL750" s="102"/>
      <c r="AM750" s="102"/>
      <c r="AN750" s="102"/>
      <c r="AO750" s="102"/>
      <c r="AP750" s="102"/>
      <c r="AQ750" s="102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02"/>
      <c r="AK751" s="1"/>
      <c r="AL751" s="102"/>
      <c r="AM751" s="102"/>
      <c r="AN751" s="102"/>
      <c r="AO751" s="102"/>
      <c r="AP751" s="102"/>
      <c r="AQ751" s="102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02"/>
      <c r="AK752" s="1"/>
      <c r="AL752" s="102"/>
      <c r="AM752" s="102"/>
      <c r="AN752" s="102"/>
      <c r="AO752" s="102"/>
      <c r="AP752" s="102"/>
      <c r="AQ752" s="102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02"/>
      <c r="AK753" s="1"/>
      <c r="AL753" s="102"/>
      <c r="AM753" s="102"/>
      <c r="AN753" s="102"/>
      <c r="AO753" s="102"/>
      <c r="AP753" s="102"/>
      <c r="AQ753" s="102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02"/>
      <c r="AK754" s="1"/>
      <c r="AL754" s="102"/>
      <c r="AM754" s="102"/>
      <c r="AN754" s="102"/>
      <c r="AO754" s="102"/>
      <c r="AP754" s="102"/>
      <c r="AQ754" s="102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02"/>
      <c r="AK755" s="1"/>
      <c r="AL755" s="102"/>
      <c r="AM755" s="102"/>
      <c r="AN755" s="102"/>
      <c r="AO755" s="102"/>
      <c r="AP755" s="102"/>
      <c r="AQ755" s="102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02"/>
      <c r="AK756" s="1"/>
      <c r="AL756" s="102"/>
      <c r="AM756" s="102"/>
      <c r="AN756" s="102"/>
      <c r="AO756" s="102"/>
      <c r="AP756" s="102"/>
      <c r="AQ756" s="102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02"/>
      <c r="AK757" s="1"/>
      <c r="AL757" s="102"/>
      <c r="AM757" s="102"/>
      <c r="AN757" s="102"/>
      <c r="AO757" s="102"/>
      <c r="AP757" s="102"/>
      <c r="AQ757" s="102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02"/>
      <c r="AK758" s="1"/>
      <c r="AL758" s="102"/>
      <c r="AM758" s="102"/>
      <c r="AN758" s="102"/>
      <c r="AO758" s="102"/>
      <c r="AP758" s="102"/>
      <c r="AQ758" s="102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02"/>
      <c r="AK759" s="1"/>
      <c r="AL759" s="102"/>
      <c r="AM759" s="102"/>
      <c r="AN759" s="102"/>
      <c r="AO759" s="102"/>
      <c r="AP759" s="102"/>
      <c r="AQ759" s="102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02"/>
      <c r="AK760" s="1"/>
      <c r="AL760" s="102"/>
      <c r="AM760" s="102"/>
      <c r="AN760" s="102"/>
      <c r="AO760" s="102"/>
      <c r="AP760" s="102"/>
      <c r="AQ760" s="102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02"/>
      <c r="AK761" s="1"/>
      <c r="AL761" s="102"/>
      <c r="AM761" s="102"/>
      <c r="AN761" s="102"/>
      <c r="AO761" s="102"/>
      <c r="AP761" s="102"/>
      <c r="AQ761" s="102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02"/>
      <c r="AK762" s="1"/>
      <c r="AL762" s="102"/>
      <c r="AM762" s="102"/>
      <c r="AN762" s="102"/>
      <c r="AO762" s="102"/>
      <c r="AP762" s="102"/>
      <c r="AQ762" s="102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02"/>
      <c r="AK763" s="1"/>
      <c r="AL763" s="102"/>
      <c r="AM763" s="102"/>
      <c r="AN763" s="102"/>
      <c r="AO763" s="102"/>
      <c r="AP763" s="102"/>
      <c r="AQ763" s="102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02"/>
      <c r="AK764" s="1"/>
      <c r="AL764" s="102"/>
      <c r="AM764" s="102"/>
      <c r="AN764" s="102"/>
      <c r="AO764" s="102"/>
      <c r="AP764" s="102"/>
      <c r="AQ764" s="102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02"/>
      <c r="AK765" s="1"/>
      <c r="AL765" s="102"/>
      <c r="AM765" s="102"/>
      <c r="AN765" s="102"/>
      <c r="AO765" s="102"/>
      <c r="AP765" s="102"/>
      <c r="AQ765" s="102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02"/>
      <c r="AK766" s="1"/>
      <c r="AL766" s="102"/>
      <c r="AM766" s="102"/>
      <c r="AN766" s="102"/>
      <c r="AO766" s="102"/>
      <c r="AP766" s="102"/>
      <c r="AQ766" s="102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02"/>
      <c r="AK767" s="1"/>
      <c r="AL767" s="102"/>
      <c r="AM767" s="102"/>
      <c r="AN767" s="102"/>
      <c r="AO767" s="102"/>
      <c r="AP767" s="102"/>
      <c r="AQ767" s="102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02"/>
      <c r="AK768" s="1"/>
      <c r="AL768" s="102"/>
      <c r="AM768" s="102"/>
      <c r="AN768" s="102"/>
      <c r="AO768" s="102"/>
      <c r="AP768" s="102"/>
      <c r="AQ768" s="102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02"/>
      <c r="AK769" s="1"/>
      <c r="AL769" s="102"/>
      <c r="AM769" s="102"/>
      <c r="AN769" s="102"/>
      <c r="AO769" s="102"/>
      <c r="AP769" s="102"/>
      <c r="AQ769" s="102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02"/>
      <c r="AK770" s="1"/>
      <c r="AL770" s="102"/>
      <c r="AM770" s="102"/>
      <c r="AN770" s="102"/>
      <c r="AO770" s="102"/>
      <c r="AP770" s="102"/>
      <c r="AQ770" s="102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02"/>
      <c r="AK771" s="1"/>
      <c r="AL771" s="102"/>
      <c r="AM771" s="102"/>
      <c r="AN771" s="102"/>
      <c r="AO771" s="102"/>
      <c r="AP771" s="102"/>
      <c r="AQ771" s="102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02"/>
      <c r="AK772" s="1"/>
      <c r="AL772" s="102"/>
      <c r="AM772" s="102"/>
      <c r="AN772" s="102"/>
      <c r="AO772" s="102"/>
      <c r="AP772" s="102"/>
      <c r="AQ772" s="102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02"/>
      <c r="AK773" s="1"/>
      <c r="AL773" s="102"/>
      <c r="AM773" s="102"/>
      <c r="AN773" s="102"/>
      <c r="AO773" s="102"/>
      <c r="AP773" s="102"/>
      <c r="AQ773" s="102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02"/>
      <c r="AK774" s="1"/>
      <c r="AL774" s="102"/>
      <c r="AM774" s="102"/>
      <c r="AN774" s="102"/>
      <c r="AO774" s="102"/>
      <c r="AP774" s="102"/>
      <c r="AQ774" s="102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02"/>
      <c r="AK775" s="1"/>
      <c r="AL775" s="102"/>
      <c r="AM775" s="102"/>
      <c r="AN775" s="102"/>
      <c r="AO775" s="102"/>
      <c r="AP775" s="102"/>
      <c r="AQ775" s="102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02"/>
      <c r="AK776" s="1"/>
      <c r="AL776" s="102"/>
      <c r="AM776" s="102"/>
      <c r="AN776" s="102"/>
      <c r="AO776" s="102"/>
      <c r="AP776" s="102"/>
      <c r="AQ776" s="102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02"/>
      <c r="AK777" s="1"/>
      <c r="AL777" s="102"/>
      <c r="AM777" s="102"/>
      <c r="AN777" s="102"/>
      <c r="AO777" s="102"/>
      <c r="AP777" s="102"/>
      <c r="AQ777" s="102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02"/>
      <c r="AK778" s="1"/>
      <c r="AL778" s="102"/>
      <c r="AM778" s="102"/>
      <c r="AN778" s="102"/>
      <c r="AO778" s="102"/>
      <c r="AP778" s="102"/>
      <c r="AQ778" s="102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02"/>
      <c r="AK779" s="1"/>
      <c r="AL779" s="102"/>
      <c r="AM779" s="102"/>
      <c r="AN779" s="102"/>
      <c r="AO779" s="102"/>
      <c r="AP779" s="102"/>
      <c r="AQ779" s="102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02"/>
      <c r="AK780" s="1"/>
      <c r="AL780" s="102"/>
      <c r="AM780" s="102"/>
      <c r="AN780" s="102"/>
      <c r="AO780" s="102"/>
      <c r="AP780" s="102"/>
      <c r="AQ780" s="102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02"/>
      <c r="AK781" s="1"/>
      <c r="AL781" s="102"/>
      <c r="AM781" s="102"/>
      <c r="AN781" s="102"/>
      <c r="AO781" s="102"/>
      <c r="AP781" s="102"/>
      <c r="AQ781" s="102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02"/>
      <c r="AK782" s="1"/>
      <c r="AL782" s="102"/>
      <c r="AM782" s="102"/>
      <c r="AN782" s="102"/>
      <c r="AO782" s="102"/>
      <c r="AP782" s="102"/>
      <c r="AQ782" s="102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02"/>
      <c r="AK783" s="1"/>
      <c r="AL783" s="102"/>
      <c r="AM783" s="102"/>
      <c r="AN783" s="102"/>
      <c r="AO783" s="102"/>
      <c r="AP783" s="102"/>
      <c r="AQ783" s="102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02"/>
      <c r="AK784" s="1"/>
      <c r="AL784" s="102"/>
      <c r="AM784" s="102"/>
      <c r="AN784" s="102"/>
      <c r="AO784" s="102"/>
      <c r="AP784" s="102"/>
      <c r="AQ784" s="102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02"/>
      <c r="AK785" s="1"/>
      <c r="AL785" s="102"/>
      <c r="AM785" s="102"/>
      <c r="AN785" s="102"/>
      <c r="AO785" s="102"/>
      <c r="AP785" s="102"/>
      <c r="AQ785" s="102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02"/>
      <c r="AK786" s="1"/>
      <c r="AL786" s="102"/>
      <c r="AM786" s="102"/>
      <c r="AN786" s="102"/>
      <c r="AO786" s="102"/>
      <c r="AP786" s="102"/>
      <c r="AQ786" s="102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02"/>
      <c r="AK787" s="1"/>
      <c r="AL787" s="102"/>
      <c r="AM787" s="102"/>
      <c r="AN787" s="102"/>
      <c r="AO787" s="102"/>
      <c r="AP787" s="102"/>
      <c r="AQ787" s="102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02"/>
      <c r="AK788" s="1"/>
      <c r="AL788" s="102"/>
      <c r="AM788" s="102"/>
      <c r="AN788" s="102"/>
      <c r="AO788" s="102"/>
      <c r="AP788" s="102"/>
      <c r="AQ788" s="102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02"/>
      <c r="AK789" s="1"/>
      <c r="AL789" s="102"/>
      <c r="AM789" s="102"/>
      <c r="AN789" s="102"/>
      <c r="AO789" s="102"/>
      <c r="AP789" s="102"/>
      <c r="AQ789" s="102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02"/>
      <c r="AK790" s="1"/>
      <c r="AL790" s="102"/>
      <c r="AM790" s="102"/>
      <c r="AN790" s="102"/>
      <c r="AO790" s="102"/>
      <c r="AP790" s="102"/>
      <c r="AQ790" s="102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02"/>
      <c r="AK791" s="1"/>
      <c r="AL791" s="102"/>
      <c r="AM791" s="102"/>
      <c r="AN791" s="102"/>
      <c r="AO791" s="102"/>
      <c r="AP791" s="102"/>
      <c r="AQ791" s="102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02"/>
      <c r="AK792" s="1"/>
      <c r="AL792" s="102"/>
      <c r="AM792" s="102"/>
      <c r="AN792" s="102"/>
      <c r="AO792" s="102"/>
      <c r="AP792" s="102"/>
      <c r="AQ792" s="102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02"/>
      <c r="AK793" s="1"/>
      <c r="AL793" s="102"/>
      <c r="AM793" s="102"/>
      <c r="AN793" s="102"/>
      <c r="AO793" s="102"/>
      <c r="AP793" s="102"/>
      <c r="AQ793" s="102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02"/>
      <c r="AK794" s="1"/>
      <c r="AL794" s="102"/>
      <c r="AM794" s="102"/>
      <c r="AN794" s="102"/>
      <c r="AO794" s="102"/>
      <c r="AP794" s="102"/>
      <c r="AQ794" s="102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02"/>
      <c r="AK795" s="1"/>
      <c r="AL795" s="102"/>
      <c r="AM795" s="102"/>
      <c r="AN795" s="102"/>
      <c r="AO795" s="102"/>
      <c r="AP795" s="102"/>
      <c r="AQ795" s="102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02"/>
      <c r="AK796" s="1"/>
      <c r="AL796" s="102"/>
      <c r="AM796" s="102"/>
      <c r="AN796" s="102"/>
      <c r="AO796" s="102"/>
      <c r="AP796" s="102"/>
      <c r="AQ796" s="102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02"/>
      <c r="AK797" s="1"/>
      <c r="AL797" s="102"/>
      <c r="AM797" s="102"/>
      <c r="AN797" s="102"/>
      <c r="AO797" s="102"/>
      <c r="AP797" s="102"/>
      <c r="AQ797" s="102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02"/>
      <c r="AK798" s="1"/>
      <c r="AL798" s="102"/>
      <c r="AM798" s="102"/>
      <c r="AN798" s="102"/>
      <c r="AO798" s="102"/>
      <c r="AP798" s="102"/>
      <c r="AQ798" s="102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02"/>
      <c r="AK799" s="1"/>
      <c r="AL799" s="102"/>
      <c r="AM799" s="102"/>
      <c r="AN799" s="102"/>
      <c r="AO799" s="102"/>
      <c r="AP799" s="102"/>
      <c r="AQ799" s="102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02"/>
      <c r="AK800" s="1"/>
      <c r="AL800" s="102"/>
      <c r="AM800" s="102"/>
      <c r="AN800" s="102"/>
      <c r="AO800" s="102"/>
      <c r="AP800" s="102"/>
      <c r="AQ800" s="102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02"/>
      <c r="AK801" s="1"/>
      <c r="AL801" s="102"/>
      <c r="AM801" s="102"/>
      <c r="AN801" s="102"/>
      <c r="AO801" s="102"/>
      <c r="AP801" s="102"/>
      <c r="AQ801" s="102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02"/>
      <c r="AK802" s="1"/>
      <c r="AL802" s="102"/>
      <c r="AM802" s="102"/>
      <c r="AN802" s="102"/>
      <c r="AO802" s="102"/>
      <c r="AP802" s="102"/>
      <c r="AQ802" s="102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02"/>
      <c r="AK803" s="1"/>
      <c r="AL803" s="102"/>
      <c r="AM803" s="102"/>
      <c r="AN803" s="102"/>
      <c r="AO803" s="102"/>
      <c r="AP803" s="102"/>
      <c r="AQ803" s="102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02"/>
      <c r="AK804" s="1"/>
      <c r="AL804" s="102"/>
      <c r="AM804" s="102"/>
      <c r="AN804" s="102"/>
      <c r="AO804" s="102"/>
      <c r="AP804" s="102"/>
      <c r="AQ804" s="102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02"/>
      <c r="AK805" s="1"/>
      <c r="AL805" s="102"/>
      <c r="AM805" s="102"/>
      <c r="AN805" s="102"/>
      <c r="AO805" s="102"/>
      <c r="AP805" s="102"/>
      <c r="AQ805" s="102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02"/>
      <c r="AK806" s="1"/>
      <c r="AL806" s="102"/>
      <c r="AM806" s="102"/>
      <c r="AN806" s="102"/>
      <c r="AO806" s="102"/>
      <c r="AP806" s="102"/>
      <c r="AQ806" s="102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02"/>
      <c r="AK807" s="1"/>
      <c r="AL807" s="102"/>
      <c r="AM807" s="102"/>
      <c r="AN807" s="102"/>
      <c r="AO807" s="102"/>
      <c r="AP807" s="102"/>
      <c r="AQ807" s="102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02"/>
      <c r="AK808" s="1"/>
      <c r="AL808" s="102"/>
      <c r="AM808" s="102"/>
      <c r="AN808" s="102"/>
      <c r="AO808" s="102"/>
      <c r="AP808" s="102"/>
      <c r="AQ808" s="102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02"/>
      <c r="AK809" s="1"/>
      <c r="AL809" s="102"/>
      <c r="AM809" s="102"/>
      <c r="AN809" s="102"/>
      <c r="AO809" s="102"/>
      <c r="AP809" s="102"/>
      <c r="AQ809" s="102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02"/>
      <c r="AK810" s="1"/>
      <c r="AL810" s="102"/>
      <c r="AM810" s="102"/>
      <c r="AN810" s="102"/>
      <c r="AO810" s="102"/>
      <c r="AP810" s="102"/>
      <c r="AQ810" s="102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02"/>
      <c r="AK811" s="1"/>
      <c r="AL811" s="102"/>
      <c r="AM811" s="102"/>
      <c r="AN811" s="102"/>
      <c r="AO811" s="102"/>
      <c r="AP811" s="102"/>
      <c r="AQ811" s="102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02"/>
      <c r="AK812" s="1"/>
      <c r="AL812" s="102"/>
      <c r="AM812" s="102"/>
      <c r="AN812" s="102"/>
      <c r="AO812" s="102"/>
      <c r="AP812" s="102"/>
      <c r="AQ812" s="102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02"/>
      <c r="AK813" s="1"/>
      <c r="AL813" s="102"/>
      <c r="AM813" s="102"/>
      <c r="AN813" s="102"/>
      <c r="AO813" s="102"/>
      <c r="AP813" s="102"/>
      <c r="AQ813" s="102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02"/>
      <c r="AK814" s="1"/>
      <c r="AL814" s="102"/>
      <c r="AM814" s="102"/>
      <c r="AN814" s="102"/>
      <c r="AO814" s="102"/>
      <c r="AP814" s="102"/>
      <c r="AQ814" s="102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02"/>
      <c r="AK815" s="1"/>
      <c r="AL815" s="102"/>
      <c r="AM815" s="102"/>
      <c r="AN815" s="102"/>
      <c r="AO815" s="102"/>
      <c r="AP815" s="102"/>
      <c r="AQ815" s="102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02"/>
      <c r="AK816" s="1"/>
      <c r="AL816" s="102"/>
      <c r="AM816" s="102"/>
      <c r="AN816" s="102"/>
      <c r="AO816" s="102"/>
      <c r="AP816" s="102"/>
      <c r="AQ816" s="102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02"/>
      <c r="AK817" s="1"/>
      <c r="AL817" s="102"/>
      <c r="AM817" s="102"/>
      <c r="AN817" s="102"/>
      <c r="AO817" s="102"/>
      <c r="AP817" s="102"/>
      <c r="AQ817" s="102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02"/>
      <c r="AK818" s="1"/>
      <c r="AL818" s="102"/>
      <c r="AM818" s="102"/>
      <c r="AN818" s="102"/>
      <c r="AO818" s="102"/>
      <c r="AP818" s="102"/>
      <c r="AQ818" s="102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02"/>
      <c r="AK819" s="1"/>
      <c r="AL819" s="102"/>
      <c r="AM819" s="102"/>
      <c r="AN819" s="102"/>
      <c r="AO819" s="102"/>
      <c r="AP819" s="102"/>
      <c r="AQ819" s="102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02"/>
      <c r="AK820" s="1"/>
      <c r="AL820" s="102"/>
      <c r="AM820" s="102"/>
      <c r="AN820" s="102"/>
      <c r="AO820" s="102"/>
      <c r="AP820" s="102"/>
      <c r="AQ820" s="102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02"/>
      <c r="AK821" s="1"/>
      <c r="AL821" s="102"/>
      <c r="AM821" s="102"/>
      <c r="AN821" s="102"/>
      <c r="AO821" s="102"/>
      <c r="AP821" s="102"/>
      <c r="AQ821" s="102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02"/>
      <c r="AK822" s="1"/>
      <c r="AL822" s="102"/>
      <c r="AM822" s="102"/>
      <c r="AN822" s="102"/>
      <c r="AO822" s="102"/>
      <c r="AP822" s="102"/>
      <c r="AQ822" s="102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02"/>
      <c r="AK823" s="1"/>
      <c r="AL823" s="102"/>
      <c r="AM823" s="102"/>
      <c r="AN823" s="102"/>
      <c r="AO823" s="102"/>
      <c r="AP823" s="102"/>
      <c r="AQ823" s="102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02"/>
      <c r="AK824" s="1"/>
      <c r="AL824" s="102"/>
      <c r="AM824" s="102"/>
      <c r="AN824" s="102"/>
      <c r="AO824" s="102"/>
      <c r="AP824" s="102"/>
      <c r="AQ824" s="102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02"/>
      <c r="AK825" s="1"/>
      <c r="AL825" s="102"/>
      <c r="AM825" s="102"/>
      <c r="AN825" s="102"/>
      <c r="AO825" s="102"/>
      <c r="AP825" s="102"/>
      <c r="AQ825" s="102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02"/>
      <c r="AK826" s="1"/>
      <c r="AL826" s="102"/>
      <c r="AM826" s="102"/>
      <c r="AN826" s="102"/>
      <c r="AO826" s="102"/>
      <c r="AP826" s="102"/>
      <c r="AQ826" s="102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02"/>
      <c r="AK827" s="1"/>
      <c r="AL827" s="102"/>
      <c r="AM827" s="102"/>
      <c r="AN827" s="102"/>
      <c r="AO827" s="102"/>
      <c r="AP827" s="102"/>
      <c r="AQ827" s="102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02"/>
      <c r="AK828" s="1"/>
      <c r="AL828" s="102"/>
      <c r="AM828" s="102"/>
      <c r="AN828" s="102"/>
      <c r="AO828" s="102"/>
      <c r="AP828" s="102"/>
      <c r="AQ828" s="102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02"/>
      <c r="AK829" s="1"/>
      <c r="AL829" s="102"/>
      <c r="AM829" s="102"/>
      <c r="AN829" s="102"/>
      <c r="AO829" s="102"/>
      <c r="AP829" s="102"/>
      <c r="AQ829" s="102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02"/>
      <c r="AK830" s="1"/>
      <c r="AL830" s="102"/>
      <c r="AM830" s="102"/>
      <c r="AN830" s="102"/>
      <c r="AO830" s="102"/>
      <c r="AP830" s="102"/>
      <c r="AQ830" s="102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02"/>
      <c r="AK831" s="1"/>
      <c r="AL831" s="102"/>
      <c r="AM831" s="102"/>
      <c r="AN831" s="102"/>
      <c r="AO831" s="102"/>
      <c r="AP831" s="102"/>
      <c r="AQ831" s="102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02"/>
      <c r="AK832" s="1"/>
      <c r="AL832" s="102"/>
      <c r="AM832" s="102"/>
      <c r="AN832" s="102"/>
      <c r="AO832" s="102"/>
      <c r="AP832" s="102"/>
      <c r="AQ832" s="102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02"/>
      <c r="AK833" s="1"/>
      <c r="AL833" s="102"/>
      <c r="AM833" s="102"/>
      <c r="AN833" s="102"/>
      <c r="AO833" s="102"/>
      <c r="AP833" s="102"/>
      <c r="AQ833" s="102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02"/>
      <c r="AK834" s="1"/>
      <c r="AL834" s="102"/>
      <c r="AM834" s="102"/>
      <c r="AN834" s="102"/>
      <c r="AO834" s="102"/>
      <c r="AP834" s="102"/>
      <c r="AQ834" s="102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02"/>
      <c r="AK835" s="1"/>
      <c r="AL835" s="102"/>
      <c r="AM835" s="102"/>
      <c r="AN835" s="102"/>
      <c r="AO835" s="102"/>
      <c r="AP835" s="102"/>
      <c r="AQ835" s="102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02"/>
      <c r="AK836" s="1"/>
      <c r="AL836" s="102"/>
      <c r="AM836" s="102"/>
      <c r="AN836" s="102"/>
      <c r="AO836" s="102"/>
      <c r="AP836" s="102"/>
      <c r="AQ836" s="102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02"/>
      <c r="AK837" s="1"/>
      <c r="AL837" s="102"/>
      <c r="AM837" s="102"/>
      <c r="AN837" s="102"/>
      <c r="AO837" s="102"/>
      <c r="AP837" s="102"/>
      <c r="AQ837" s="102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02"/>
      <c r="AK838" s="1"/>
      <c r="AL838" s="102"/>
      <c r="AM838" s="102"/>
      <c r="AN838" s="102"/>
      <c r="AO838" s="102"/>
      <c r="AP838" s="102"/>
      <c r="AQ838" s="102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02"/>
      <c r="AK839" s="1"/>
      <c r="AL839" s="102"/>
      <c r="AM839" s="102"/>
      <c r="AN839" s="102"/>
      <c r="AO839" s="102"/>
      <c r="AP839" s="102"/>
      <c r="AQ839" s="102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02"/>
      <c r="AK840" s="1"/>
      <c r="AL840" s="102"/>
      <c r="AM840" s="102"/>
      <c r="AN840" s="102"/>
      <c r="AO840" s="102"/>
      <c r="AP840" s="102"/>
      <c r="AQ840" s="102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02"/>
      <c r="AK841" s="1"/>
      <c r="AL841" s="102"/>
      <c r="AM841" s="102"/>
      <c r="AN841" s="102"/>
      <c r="AO841" s="102"/>
      <c r="AP841" s="102"/>
      <c r="AQ841" s="102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02"/>
      <c r="AK842" s="1"/>
      <c r="AL842" s="102"/>
      <c r="AM842" s="102"/>
      <c r="AN842" s="102"/>
      <c r="AO842" s="102"/>
      <c r="AP842" s="102"/>
      <c r="AQ842" s="102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02"/>
      <c r="AK843" s="1"/>
      <c r="AL843" s="102"/>
      <c r="AM843" s="102"/>
      <c r="AN843" s="102"/>
      <c r="AO843" s="102"/>
      <c r="AP843" s="102"/>
      <c r="AQ843" s="102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02"/>
      <c r="AK844" s="1"/>
      <c r="AL844" s="102"/>
      <c r="AM844" s="102"/>
      <c r="AN844" s="102"/>
      <c r="AO844" s="102"/>
      <c r="AP844" s="102"/>
      <c r="AQ844" s="102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02"/>
      <c r="AK845" s="1"/>
      <c r="AL845" s="102"/>
      <c r="AM845" s="102"/>
      <c r="AN845" s="102"/>
      <c r="AO845" s="102"/>
      <c r="AP845" s="102"/>
      <c r="AQ845" s="102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02"/>
      <c r="AK846" s="1"/>
      <c r="AL846" s="102"/>
      <c r="AM846" s="102"/>
      <c r="AN846" s="102"/>
      <c r="AO846" s="102"/>
      <c r="AP846" s="102"/>
      <c r="AQ846" s="102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02"/>
      <c r="AK847" s="1"/>
      <c r="AL847" s="102"/>
      <c r="AM847" s="102"/>
      <c r="AN847" s="102"/>
      <c r="AO847" s="102"/>
      <c r="AP847" s="102"/>
      <c r="AQ847" s="102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02"/>
      <c r="AK848" s="1"/>
      <c r="AL848" s="102"/>
      <c r="AM848" s="102"/>
      <c r="AN848" s="102"/>
      <c r="AO848" s="102"/>
      <c r="AP848" s="102"/>
      <c r="AQ848" s="102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02"/>
      <c r="AK849" s="1"/>
      <c r="AL849" s="102"/>
      <c r="AM849" s="102"/>
      <c r="AN849" s="102"/>
      <c r="AO849" s="102"/>
      <c r="AP849" s="102"/>
      <c r="AQ849" s="102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02"/>
      <c r="AK850" s="1"/>
      <c r="AL850" s="102"/>
      <c r="AM850" s="102"/>
      <c r="AN850" s="102"/>
      <c r="AO850" s="102"/>
      <c r="AP850" s="102"/>
      <c r="AQ850" s="102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02"/>
      <c r="AK851" s="1"/>
      <c r="AL851" s="102"/>
      <c r="AM851" s="102"/>
      <c r="AN851" s="102"/>
      <c r="AO851" s="102"/>
      <c r="AP851" s="102"/>
      <c r="AQ851" s="102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02"/>
      <c r="AK852" s="1"/>
      <c r="AL852" s="102"/>
      <c r="AM852" s="102"/>
      <c r="AN852" s="102"/>
      <c r="AO852" s="102"/>
      <c r="AP852" s="102"/>
      <c r="AQ852" s="102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02"/>
      <c r="AK853" s="1"/>
      <c r="AL853" s="102"/>
      <c r="AM853" s="102"/>
      <c r="AN853" s="102"/>
      <c r="AO853" s="102"/>
      <c r="AP853" s="102"/>
      <c r="AQ853" s="102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02"/>
      <c r="AK854" s="1"/>
      <c r="AL854" s="102"/>
      <c r="AM854" s="102"/>
      <c r="AN854" s="102"/>
      <c r="AO854" s="102"/>
      <c r="AP854" s="102"/>
      <c r="AQ854" s="102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02"/>
      <c r="AK855" s="1"/>
      <c r="AL855" s="102"/>
      <c r="AM855" s="102"/>
      <c r="AN855" s="102"/>
      <c r="AO855" s="102"/>
      <c r="AP855" s="102"/>
      <c r="AQ855" s="102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02"/>
      <c r="AK856" s="1"/>
      <c r="AL856" s="102"/>
      <c r="AM856" s="102"/>
      <c r="AN856" s="102"/>
      <c r="AO856" s="102"/>
      <c r="AP856" s="102"/>
      <c r="AQ856" s="102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02"/>
      <c r="AK857" s="1"/>
      <c r="AL857" s="102"/>
      <c r="AM857" s="102"/>
      <c r="AN857" s="102"/>
      <c r="AO857" s="102"/>
      <c r="AP857" s="102"/>
      <c r="AQ857" s="102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02"/>
      <c r="AK858" s="1"/>
      <c r="AL858" s="102"/>
      <c r="AM858" s="102"/>
      <c r="AN858" s="102"/>
      <c r="AO858" s="102"/>
      <c r="AP858" s="102"/>
      <c r="AQ858" s="102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02"/>
      <c r="AK859" s="1"/>
      <c r="AL859" s="102"/>
      <c r="AM859" s="102"/>
      <c r="AN859" s="102"/>
      <c r="AO859" s="102"/>
      <c r="AP859" s="102"/>
      <c r="AQ859" s="102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02"/>
      <c r="AK860" s="1"/>
      <c r="AL860" s="102"/>
      <c r="AM860" s="102"/>
      <c r="AN860" s="102"/>
      <c r="AO860" s="102"/>
      <c r="AP860" s="102"/>
      <c r="AQ860" s="102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02"/>
      <c r="AK861" s="1"/>
      <c r="AL861" s="102"/>
      <c r="AM861" s="102"/>
      <c r="AN861" s="102"/>
      <c r="AO861" s="102"/>
      <c r="AP861" s="102"/>
      <c r="AQ861" s="102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02"/>
      <c r="AK862" s="1"/>
      <c r="AL862" s="102"/>
      <c r="AM862" s="102"/>
      <c r="AN862" s="102"/>
      <c r="AO862" s="102"/>
      <c r="AP862" s="102"/>
      <c r="AQ862" s="102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02"/>
      <c r="AK863" s="1"/>
      <c r="AL863" s="102"/>
      <c r="AM863" s="102"/>
      <c r="AN863" s="102"/>
      <c r="AO863" s="102"/>
      <c r="AP863" s="102"/>
      <c r="AQ863" s="102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02"/>
      <c r="AK864" s="1"/>
      <c r="AL864" s="102"/>
      <c r="AM864" s="102"/>
      <c r="AN864" s="102"/>
      <c r="AO864" s="102"/>
      <c r="AP864" s="102"/>
      <c r="AQ864" s="102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02"/>
      <c r="AK865" s="1"/>
      <c r="AL865" s="102"/>
      <c r="AM865" s="102"/>
      <c r="AN865" s="102"/>
      <c r="AO865" s="102"/>
      <c r="AP865" s="102"/>
      <c r="AQ865" s="102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02"/>
      <c r="AK866" s="1"/>
      <c r="AL866" s="102"/>
      <c r="AM866" s="102"/>
      <c r="AN866" s="102"/>
      <c r="AO866" s="102"/>
      <c r="AP866" s="102"/>
      <c r="AQ866" s="102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02"/>
      <c r="AK867" s="1"/>
      <c r="AL867" s="102"/>
      <c r="AM867" s="102"/>
      <c r="AN867" s="102"/>
      <c r="AO867" s="102"/>
      <c r="AP867" s="102"/>
      <c r="AQ867" s="102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02"/>
      <c r="AK868" s="1"/>
      <c r="AL868" s="102"/>
      <c r="AM868" s="102"/>
      <c r="AN868" s="102"/>
      <c r="AO868" s="102"/>
      <c r="AP868" s="102"/>
      <c r="AQ868" s="102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02"/>
      <c r="AK869" s="1"/>
      <c r="AL869" s="102"/>
      <c r="AM869" s="102"/>
      <c r="AN869" s="102"/>
      <c r="AO869" s="102"/>
      <c r="AP869" s="102"/>
      <c r="AQ869" s="102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02"/>
      <c r="AK870" s="1"/>
      <c r="AL870" s="102"/>
      <c r="AM870" s="102"/>
      <c r="AN870" s="102"/>
      <c r="AO870" s="102"/>
      <c r="AP870" s="102"/>
      <c r="AQ870" s="102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02"/>
      <c r="AK871" s="1"/>
      <c r="AL871" s="102"/>
      <c r="AM871" s="102"/>
      <c r="AN871" s="102"/>
      <c r="AO871" s="102"/>
      <c r="AP871" s="102"/>
      <c r="AQ871" s="102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02"/>
      <c r="AK872" s="1"/>
      <c r="AL872" s="102"/>
      <c r="AM872" s="102"/>
      <c r="AN872" s="102"/>
      <c r="AO872" s="102"/>
      <c r="AP872" s="102"/>
      <c r="AQ872" s="102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02"/>
      <c r="AK873" s="1"/>
      <c r="AL873" s="102"/>
      <c r="AM873" s="102"/>
      <c r="AN873" s="102"/>
      <c r="AO873" s="102"/>
      <c r="AP873" s="102"/>
      <c r="AQ873" s="102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02"/>
      <c r="AK874" s="1"/>
      <c r="AL874" s="102"/>
      <c r="AM874" s="102"/>
      <c r="AN874" s="102"/>
      <c r="AO874" s="102"/>
      <c r="AP874" s="102"/>
      <c r="AQ874" s="102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02"/>
      <c r="AK875" s="1"/>
      <c r="AL875" s="102"/>
      <c r="AM875" s="102"/>
      <c r="AN875" s="102"/>
      <c r="AO875" s="102"/>
      <c r="AP875" s="102"/>
      <c r="AQ875" s="102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02"/>
      <c r="AK876" s="1"/>
      <c r="AL876" s="102"/>
      <c r="AM876" s="102"/>
      <c r="AN876" s="102"/>
      <c r="AO876" s="102"/>
      <c r="AP876" s="102"/>
      <c r="AQ876" s="102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02"/>
      <c r="AK877" s="1"/>
      <c r="AL877" s="102"/>
      <c r="AM877" s="102"/>
      <c r="AN877" s="102"/>
      <c r="AO877" s="102"/>
      <c r="AP877" s="102"/>
      <c r="AQ877" s="102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02"/>
      <c r="AK878" s="1"/>
      <c r="AL878" s="102"/>
      <c r="AM878" s="102"/>
      <c r="AN878" s="102"/>
      <c r="AO878" s="102"/>
      <c r="AP878" s="102"/>
      <c r="AQ878" s="102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02"/>
      <c r="AK879" s="1"/>
      <c r="AL879" s="102"/>
      <c r="AM879" s="102"/>
      <c r="AN879" s="102"/>
      <c r="AO879" s="102"/>
      <c r="AP879" s="102"/>
      <c r="AQ879" s="102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02"/>
      <c r="AK880" s="1"/>
      <c r="AL880" s="102"/>
      <c r="AM880" s="102"/>
      <c r="AN880" s="102"/>
      <c r="AO880" s="102"/>
      <c r="AP880" s="102"/>
      <c r="AQ880" s="102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02"/>
      <c r="AK881" s="1"/>
      <c r="AL881" s="102"/>
      <c r="AM881" s="102"/>
      <c r="AN881" s="102"/>
      <c r="AO881" s="102"/>
      <c r="AP881" s="102"/>
      <c r="AQ881" s="102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02"/>
      <c r="AK882" s="1"/>
      <c r="AL882" s="102"/>
      <c r="AM882" s="102"/>
      <c r="AN882" s="102"/>
      <c r="AO882" s="102"/>
      <c r="AP882" s="102"/>
      <c r="AQ882" s="102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02"/>
      <c r="AK883" s="1"/>
      <c r="AL883" s="102"/>
      <c r="AM883" s="102"/>
      <c r="AN883" s="102"/>
      <c r="AO883" s="102"/>
      <c r="AP883" s="102"/>
      <c r="AQ883" s="102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02"/>
      <c r="AK884" s="1"/>
      <c r="AL884" s="102"/>
      <c r="AM884" s="102"/>
      <c r="AN884" s="102"/>
      <c r="AO884" s="102"/>
      <c r="AP884" s="102"/>
      <c r="AQ884" s="102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02"/>
      <c r="AK885" s="1"/>
      <c r="AL885" s="102"/>
      <c r="AM885" s="102"/>
      <c r="AN885" s="102"/>
      <c r="AO885" s="102"/>
      <c r="AP885" s="102"/>
      <c r="AQ885" s="102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02"/>
      <c r="AK886" s="1"/>
      <c r="AL886" s="102"/>
      <c r="AM886" s="102"/>
      <c r="AN886" s="102"/>
      <c r="AO886" s="102"/>
      <c r="AP886" s="102"/>
      <c r="AQ886" s="102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02"/>
      <c r="AK887" s="1"/>
      <c r="AL887" s="102"/>
      <c r="AM887" s="102"/>
      <c r="AN887" s="102"/>
      <c r="AO887" s="102"/>
      <c r="AP887" s="102"/>
      <c r="AQ887" s="102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02"/>
      <c r="AK888" s="1"/>
      <c r="AL888" s="102"/>
      <c r="AM888" s="102"/>
      <c r="AN888" s="102"/>
      <c r="AO888" s="102"/>
      <c r="AP888" s="102"/>
      <c r="AQ888" s="102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02"/>
      <c r="AK889" s="1"/>
      <c r="AL889" s="102"/>
      <c r="AM889" s="102"/>
      <c r="AN889" s="102"/>
      <c r="AO889" s="102"/>
      <c r="AP889" s="102"/>
      <c r="AQ889" s="102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02"/>
      <c r="AK890" s="1"/>
      <c r="AL890" s="102"/>
      <c r="AM890" s="102"/>
      <c r="AN890" s="102"/>
      <c r="AO890" s="102"/>
      <c r="AP890" s="102"/>
      <c r="AQ890" s="102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02"/>
      <c r="AK891" s="1"/>
      <c r="AL891" s="102"/>
      <c r="AM891" s="102"/>
      <c r="AN891" s="102"/>
      <c r="AO891" s="102"/>
      <c r="AP891" s="102"/>
      <c r="AQ891" s="102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02"/>
      <c r="AK892" s="1"/>
      <c r="AL892" s="102"/>
      <c r="AM892" s="102"/>
      <c r="AN892" s="102"/>
      <c r="AO892" s="102"/>
      <c r="AP892" s="102"/>
      <c r="AQ892" s="102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02"/>
      <c r="AK893" s="1"/>
      <c r="AL893" s="102"/>
      <c r="AM893" s="102"/>
      <c r="AN893" s="102"/>
      <c r="AO893" s="102"/>
      <c r="AP893" s="102"/>
      <c r="AQ893" s="102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02"/>
      <c r="AK894" s="1"/>
      <c r="AL894" s="102"/>
      <c r="AM894" s="102"/>
      <c r="AN894" s="102"/>
      <c r="AO894" s="102"/>
      <c r="AP894" s="102"/>
      <c r="AQ894" s="102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02"/>
      <c r="AK895" s="1"/>
      <c r="AL895" s="102"/>
      <c r="AM895" s="102"/>
      <c r="AN895" s="102"/>
      <c r="AO895" s="102"/>
      <c r="AP895" s="102"/>
      <c r="AQ895" s="102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02"/>
      <c r="AK896" s="1"/>
      <c r="AL896" s="102"/>
      <c r="AM896" s="102"/>
      <c r="AN896" s="102"/>
      <c r="AO896" s="102"/>
      <c r="AP896" s="102"/>
      <c r="AQ896" s="102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02"/>
      <c r="AK897" s="1"/>
      <c r="AL897" s="102"/>
      <c r="AM897" s="102"/>
      <c r="AN897" s="102"/>
      <c r="AO897" s="102"/>
      <c r="AP897" s="102"/>
      <c r="AQ897" s="102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02"/>
      <c r="AK898" s="1"/>
      <c r="AL898" s="102"/>
      <c r="AM898" s="102"/>
      <c r="AN898" s="102"/>
      <c r="AO898" s="102"/>
      <c r="AP898" s="102"/>
      <c r="AQ898" s="102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02"/>
      <c r="AK899" s="1"/>
      <c r="AL899" s="102"/>
      <c r="AM899" s="102"/>
      <c r="AN899" s="102"/>
      <c r="AO899" s="102"/>
      <c r="AP899" s="102"/>
      <c r="AQ899" s="102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02"/>
      <c r="AK900" s="1"/>
      <c r="AL900" s="102"/>
      <c r="AM900" s="102"/>
      <c r="AN900" s="102"/>
      <c r="AO900" s="102"/>
      <c r="AP900" s="102"/>
      <c r="AQ900" s="102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02"/>
      <c r="AK901" s="1"/>
      <c r="AL901" s="102"/>
      <c r="AM901" s="102"/>
      <c r="AN901" s="102"/>
      <c r="AO901" s="102"/>
      <c r="AP901" s="102"/>
      <c r="AQ901" s="102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02"/>
      <c r="AK902" s="1"/>
      <c r="AL902" s="102"/>
      <c r="AM902" s="102"/>
      <c r="AN902" s="102"/>
      <c r="AO902" s="102"/>
      <c r="AP902" s="102"/>
      <c r="AQ902" s="102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02"/>
      <c r="AK903" s="1"/>
      <c r="AL903" s="102"/>
      <c r="AM903" s="102"/>
      <c r="AN903" s="102"/>
      <c r="AO903" s="102"/>
      <c r="AP903" s="102"/>
      <c r="AQ903" s="102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02"/>
      <c r="AK904" s="1"/>
      <c r="AL904" s="102"/>
      <c r="AM904" s="102"/>
      <c r="AN904" s="102"/>
      <c r="AO904" s="102"/>
      <c r="AP904" s="102"/>
      <c r="AQ904" s="102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02"/>
      <c r="AK905" s="1"/>
      <c r="AL905" s="102"/>
      <c r="AM905" s="102"/>
      <c r="AN905" s="102"/>
      <c r="AO905" s="102"/>
      <c r="AP905" s="102"/>
      <c r="AQ905" s="102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02"/>
      <c r="AK906" s="1"/>
      <c r="AL906" s="102"/>
      <c r="AM906" s="102"/>
      <c r="AN906" s="102"/>
      <c r="AO906" s="102"/>
      <c r="AP906" s="102"/>
      <c r="AQ906" s="102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02"/>
      <c r="AK907" s="1"/>
      <c r="AL907" s="102"/>
      <c r="AM907" s="102"/>
      <c r="AN907" s="102"/>
      <c r="AO907" s="102"/>
      <c r="AP907" s="102"/>
      <c r="AQ907" s="102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02"/>
      <c r="AK908" s="1"/>
      <c r="AL908" s="102"/>
      <c r="AM908" s="102"/>
      <c r="AN908" s="102"/>
      <c r="AO908" s="102"/>
      <c r="AP908" s="102"/>
      <c r="AQ908" s="102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02"/>
      <c r="AK909" s="1"/>
      <c r="AL909" s="102"/>
      <c r="AM909" s="102"/>
      <c r="AN909" s="102"/>
      <c r="AO909" s="102"/>
      <c r="AP909" s="102"/>
      <c r="AQ909" s="102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02"/>
      <c r="AK910" s="1"/>
      <c r="AL910" s="102"/>
      <c r="AM910" s="102"/>
      <c r="AN910" s="102"/>
      <c r="AO910" s="102"/>
      <c r="AP910" s="102"/>
      <c r="AQ910" s="102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02"/>
      <c r="AK911" s="1"/>
      <c r="AL911" s="102"/>
      <c r="AM911" s="102"/>
      <c r="AN911" s="102"/>
      <c r="AO911" s="102"/>
      <c r="AP911" s="102"/>
      <c r="AQ911" s="102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02"/>
      <c r="AK912" s="1"/>
      <c r="AL912" s="102"/>
      <c r="AM912" s="102"/>
      <c r="AN912" s="102"/>
      <c r="AO912" s="102"/>
      <c r="AP912" s="102"/>
      <c r="AQ912" s="102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02"/>
      <c r="AK913" s="1"/>
      <c r="AL913" s="102"/>
      <c r="AM913" s="102"/>
      <c r="AN913" s="102"/>
      <c r="AO913" s="102"/>
      <c r="AP913" s="102"/>
      <c r="AQ913" s="102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02"/>
      <c r="AK914" s="1"/>
      <c r="AL914" s="102"/>
      <c r="AM914" s="102"/>
      <c r="AN914" s="102"/>
      <c r="AO914" s="102"/>
      <c r="AP914" s="102"/>
      <c r="AQ914" s="102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02"/>
      <c r="AK915" s="1"/>
      <c r="AL915" s="102"/>
      <c r="AM915" s="102"/>
      <c r="AN915" s="102"/>
      <c r="AO915" s="102"/>
      <c r="AP915" s="102"/>
      <c r="AQ915" s="102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02"/>
      <c r="AK916" s="1"/>
      <c r="AL916" s="102"/>
      <c r="AM916" s="102"/>
      <c r="AN916" s="102"/>
      <c r="AO916" s="102"/>
      <c r="AP916" s="102"/>
      <c r="AQ916" s="102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02"/>
      <c r="AK917" s="1"/>
      <c r="AL917" s="102"/>
      <c r="AM917" s="102"/>
      <c r="AN917" s="102"/>
      <c r="AO917" s="102"/>
      <c r="AP917" s="102"/>
      <c r="AQ917" s="102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02"/>
      <c r="AK918" s="1"/>
      <c r="AL918" s="102"/>
      <c r="AM918" s="102"/>
      <c r="AN918" s="102"/>
      <c r="AO918" s="102"/>
      <c r="AP918" s="102"/>
      <c r="AQ918" s="102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02"/>
      <c r="AK919" s="1"/>
      <c r="AL919" s="102"/>
      <c r="AM919" s="102"/>
      <c r="AN919" s="102"/>
      <c r="AO919" s="102"/>
      <c r="AP919" s="102"/>
      <c r="AQ919" s="102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02"/>
      <c r="AK920" s="1"/>
      <c r="AL920" s="102"/>
      <c r="AM920" s="102"/>
      <c r="AN920" s="102"/>
      <c r="AO920" s="102"/>
      <c r="AP920" s="102"/>
      <c r="AQ920" s="102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02"/>
      <c r="AK921" s="1"/>
      <c r="AL921" s="102"/>
      <c r="AM921" s="102"/>
      <c r="AN921" s="102"/>
      <c r="AO921" s="102"/>
      <c r="AP921" s="102"/>
      <c r="AQ921" s="102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02"/>
      <c r="AK922" s="1"/>
      <c r="AL922" s="102"/>
      <c r="AM922" s="102"/>
      <c r="AN922" s="102"/>
      <c r="AO922" s="102"/>
      <c r="AP922" s="102"/>
      <c r="AQ922" s="102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02"/>
      <c r="AK923" s="1"/>
      <c r="AL923" s="102"/>
      <c r="AM923" s="102"/>
      <c r="AN923" s="102"/>
      <c r="AO923" s="102"/>
      <c r="AP923" s="102"/>
      <c r="AQ923" s="102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02"/>
      <c r="AK924" s="1"/>
      <c r="AL924" s="102"/>
      <c r="AM924" s="102"/>
      <c r="AN924" s="102"/>
      <c r="AO924" s="102"/>
      <c r="AP924" s="102"/>
      <c r="AQ924" s="102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02"/>
      <c r="AK925" s="1"/>
      <c r="AL925" s="102"/>
      <c r="AM925" s="102"/>
      <c r="AN925" s="102"/>
      <c r="AO925" s="102"/>
      <c r="AP925" s="102"/>
      <c r="AQ925" s="102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02"/>
      <c r="AK926" s="1"/>
      <c r="AL926" s="102"/>
      <c r="AM926" s="102"/>
      <c r="AN926" s="102"/>
      <c r="AO926" s="102"/>
      <c r="AP926" s="102"/>
      <c r="AQ926" s="102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02"/>
      <c r="AK927" s="1"/>
      <c r="AL927" s="102"/>
      <c r="AM927" s="102"/>
      <c r="AN927" s="102"/>
      <c r="AO927" s="102"/>
      <c r="AP927" s="102"/>
      <c r="AQ927" s="102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02"/>
      <c r="AK928" s="1"/>
      <c r="AL928" s="102"/>
      <c r="AM928" s="102"/>
      <c r="AN928" s="102"/>
      <c r="AO928" s="102"/>
      <c r="AP928" s="102"/>
      <c r="AQ928" s="102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02"/>
      <c r="AK929" s="1"/>
      <c r="AL929" s="102"/>
      <c r="AM929" s="102"/>
      <c r="AN929" s="102"/>
      <c r="AO929" s="102"/>
      <c r="AP929" s="102"/>
      <c r="AQ929" s="102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02"/>
      <c r="AK930" s="1"/>
      <c r="AL930" s="102"/>
      <c r="AM930" s="102"/>
      <c r="AN930" s="102"/>
      <c r="AO930" s="102"/>
      <c r="AP930" s="102"/>
      <c r="AQ930" s="102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02"/>
      <c r="AK931" s="1"/>
      <c r="AL931" s="102"/>
      <c r="AM931" s="102"/>
      <c r="AN931" s="102"/>
      <c r="AO931" s="102"/>
      <c r="AP931" s="102"/>
      <c r="AQ931" s="102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02"/>
      <c r="AK932" s="1"/>
      <c r="AL932" s="102"/>
      <c r="AM932" s="102"/>
      <c r="AN932" s="102"/>
      <c r="AO932" s="102"/>
      <c r="AP932" s="102"/>
      <c r="AQ932" s="102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02"/>
      <c r="AK933" s="1"/>
      <c r="AL933" s="102"/>
      <c r="AM933" s="102"/>
      <c r="AN933" s="102"/>
      <c r="AO933" s="102"/>
      <c r="AP933" s="102"/>
      <c r="AQ933" s="102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02"/>
      <c r="AK934" s="1"/>
      <c r="AL934" s="102"/>
      <c r="AM934" s="102"/>
      <c r="AN934" s="102"/>
      <c r="AO934" s="102"/>
      <c r="AP934" s="102"/>
      <c r="AQ934" s="102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02"/>
      <c r="AK935" s="1"/>
      <c r="AL935" s="102"/>
      <c r="AM935" s="102"/>
      <c r="AN935" s="102"/>
      <c r="AO935" s="102"/>
      <c r="AP935" s="102"/>
      <c r="AQ935" s="102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02"/>
      <c r="AK936" s="1"/>
      <c r="AL936" s="102"/>
      <c r="AM936" s="102"/>
      <c r="AN936" s="102"/>
      <c r="AO936" s="102"/>
      <c r="AP936" s="102"/>
      <c r="AQ936" s="102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02"/>
      <c r="AK937" s="1"/>
      <c r="AL937" s="102"/>
      <c r="AM937" s="102"/>
      <c r="AN937" s="102"/>
      <c r="AO937" s="102"/>
      <c r="AP937" s="102"/>
      <c r="AQ937" s="102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02"/>
      <c r="AK938" s="1"/>
      <c r="AL938" s="102"/>
      <c r="AM938" s="102"/>
      <c r="AN938" s="102"/>
      <c r="AO938" s="102"/>
      <c r="AP938" s="102"/>
      <c r="AQ938" s="102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02"/>
      <c r="AK939" s="1"/>
      <c r="AL939" s="102"/>
      <c r="AM939" s="102"/>
      <c r="AN939" s="102"/>
      <c r="AO939" s="102"/>
      <c r="AP939" s="102"/>
      <c r="AQ939" s="102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02"/>
      <c r="AK940" s="1"/>
      <c r="AL940" s="102"/>
      <c r="AM940" s="102"/>
      <c r="AN940" s="102"/>
      <c r="AO940" s="102"/>
      <c r="AP940" s="102"/>
      <c r="AQ940" s="102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02"/>
      <c r="AK941" s="1"/>
      <c r="AL941" s="102"/>
      <c r="AM941" s="102"/>
      <c r="AN941" s="102"/>
      <c r="AO941" s="102"/>
      <c r="AP941" s="102"/>
      <c r="AQ941" s="102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02"/>
      <c r="AK942" s="1"/>
      <c r="AL942" s="102"/>
      <c r="AM942" s="102"/>
      <c r="AN942" s="102"/>
      <c r="AO942" s="102"/>
      <c r="AP942" s="102"/>
      <c r="AQ942" s="102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02"/>
      <c r="AK943" s="1"/>
      <c r="AL943" s="102"/>
      <c r="AM943" s="102"/>
      <c r="AN943" s="102"/>
      <c r="AO943" s="102"/>
      <c r="AP943" s="102"/>
      <c r="AQ943" s="102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02"/>
      <c r="AK944" s="1"/>
      <c r="AL944" s="102"/>
      <c r="AM944" s="102"/>
      <c r="AN944" s="102"/>
      <c r="AO944" s="102"/>
      <c r="AP944" s="102"/>
      <c r="AQ944" s="102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02"/>
      <c r="AK945" s="1"/>
      <c r="AL945" s="102"/>
      <c r="AM945" s="102"/>
      <c r="AN945" s="102"/>
      <c r="AO945" s="102"/>
      <c r="AP945" s="102"/>
      <c r="AQ945" s="102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02"/>
      <c r="AK946" s="1"/>
      <c r="AL946" s="102"/>
      <c r="AM946" s="102"/>
      <c r="AN946" s="102"/>
      <c r="AO946" s="102"/>
      <c r="AP946" s="102"/>
      <c r="AQ946" s="102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02"/>
      <c r="AK947" s="1"/>
      <c r="AL947" s="102"/>
      <c r="AM947" s="102"/>
      <c r="AN947" s="102"/>
      <c r="AO947" s="102"/>
      <c r="AP947" s="102"/>
      <c r="AQ947" s="102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02"/>
      <c r="AK948" s="1"/>
      <c r="AL948" s="102"/>
      <c r="AM948" s="102"/>
      <c r="AN948" s="102"/>
      <c r="AO948" s="102"/>
      <c r="AP948" s="102"/>
      <c r="AQ948" s="102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02"/>
      <c r="AK949" s="1"/>
      <c r="AL949" s="102"/>
      <c r="AM949" s="102"/>
      <c r="AN949" s="102"/>
      <c r="AO949" s="102"/>
      <c r="AP949" s="102"/>
      <c r="AQ949" s="102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02"/>
      <c r="AK950" s="1"/>
      <c r="AL950" s="102"/>
      <c r="AM950" s="102"/>
      <c r="AN950" s="102"/>
      <c r="AO950" s="102"/>
      <c r="AP950" s="102"/>
      <c r="AQ950" s="102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02"/>
      <c r="AK951" s="1"/>
      <c r="AL951" s="102"/>
      <c r="AM951" s="102"/>
      <c r="AN951" s="102"/>
      <c r="AO951" s="102"/>
      <c r="AP951" s="102"/>
      <c r="AQ951" s="102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02"/>
      <c r="AK952" s="1"/>
      <c r="AL952" s="102"/>
      <c r="AM952" s="102"/>
      <c r="AN952" s="102"/>
      <c r="AO952" s="102"/>
      <c r="AP952" s="102"/>
      <c r="AQ952" s="102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02"/>
      <c r="AK953" s="1"/>
      <c r="AL953" s="102"/>
      <c r="AM953" s="102"/>
      <c r="AN953" s="102"/>
      <c r="AO953" s="102"/>
      <c r="AP953" s="102"/>
      <c r="AQ953" s="102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02"/>
      <c r="AK954" s="1"/>
      <c r="AL954" s="102"/>
      <c r="AM954" s="102"/>
      <c r="AN954" s="102"/>
      <c r="AO954" s="102"/>
      <c r="AP954" s="102"/>
      <c r="AQ954" s="102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02"/>
      <c r="AK955" s="1"/>
      <c r="AL955" s="102"/>
      <c r="AM955" s="102"/>
      <c r="AN955" s="102"/>
      <c r="AO955" s="102"/>
      <c r="AP955" s="102"/>
      <c r="AQ955" s="102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02"/>
      <c r="AK956" s="1"/>
      <c r="AL956" s="102"/>
      <c r="AM956" s="102"/>
      <c r="AN956" s="102"/>
      <c r="AO956" s="102"/>
      <c r="AP956" s="102"/>
      <c r="AQ956" s="102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02"/>
      <c r="AK957" s="1"/>
      <c r="AL957" s="102"/>
      <c r="AM957" s="102"/>
      <c r="AN957" s="102"/>
      <c r="AO957" s="102"/>
      <c r="AP957" s="102"/>
      <c r="AQ957" s="102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02"/>
      <c r="AK958" s="1"/>
      <c r="AL958" s="102"/>
      <c r="AM958" s="102"/>
      <c r="AN958" s="102"/>
      <c r="AO958" s="102"/>
      <c r="AP958" s="102"/>
      <c r="AQ958" s="102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02"/>
      <c r="AK959" s="1"/>
      <c r="AL959" s="102"/>
      <c r="AM959" s="102"/>
      <c r="AN959" s="102"/>
      <c r="AO959" s="102"/>
      <c r="AP959" s="102"/>
      <c r="AQ959" s="102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02"/>
      <c r="AK960" s="1"/>
      <c r="AL960" s="102"/>
      <c r="AM960" s="102"/>
      <c r="AN960" s="102"/>
      <c r="AO960" s="102"/>
      <c r="AP960" s="102"/>
      <c r="AQ960" s="102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02"/>
      <c r="AK961" s="1"/>
      <c r="AL961" s="102"/>
      <c r="AM961" s="102"/>
      <c r="AN961" s="102"/>
      <c r="AO961" s="102"/>
      <c r="AP961" s="102"/>
      <c r="AQ961" s="102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02"/>
      <c r="AK962" s="1"/>
      <c r="AL962" s="102"/>
      <c r="AM962" s="102"/>
      <c r="AN962" s="102"/>
      <c r="AO962" s="102"/>
      <c r="AP962" s="102"/>
      <c r="AQ962" s="102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02"/>
      <c r="AK963" s="1"/>
      <c r="AL963" s="102"/>
      <c r="AM963" s="102"/>
      <c r="AN963" s="102"/>
      <c r="AO963" s="102"/>
      <c r="AP963" s="102"/>
      <c r="AQ963" s="102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02"/>
      <c r="AK964" s="1"/>
      <c r="AL964" s="102"/>
      <c r="AM964" s="102"/>
      <c r="AN964" s="102"/>
      <c r="AO964" s="102"/>
      <c r="AP964" s="102"/>
      <c r="AQ964" s="102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02"/>
      <c r="AK965" s="1"/>
      <c r="AL965" s="102"/>
      <c r="AM965" s="102"/>
      <c r="AN965" s="102"/>
      <c r="AO965" s="102"/>
      <c r="AP965" s="102"/>
      <c r="AQ965" s="102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02"/>
      <c r="AK966" s="1"/>
      <c r="AL966" s="102"/>
      <c r="AM966" s="102"/>
      <c r="AN966" s="102"/>
      <c r="AO966" s="102"/>
      <c r="AP966" s="102"/>
      <c r="AQ966" s="102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02"/>
      <c r="AK967" s="1"/>
      <c r="AL967" s="102"/>
      <c r="AM967" s="102"/>
      <c r="AN967" s="102"/>
      <c r="AO967" s="102"/>
      <c r="AP967" s="102"/>
      <c r="AQ967" s="102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02"/>
      <c r="AK968" s="1"/>
      <c r="AL968" s="102"/>
      <c r="AM968" s="102"/>
      <c r="AN968" s="102"/>
      <c r="AO968" s="102"/>
      <c r="AP968" s="102"/>
      <c r="AQ968" s="102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02"/>
      <c r="AK969" s="1"/>
      <c r="AL969" s="102"/>
      <c r="AM969" s="102"/>
      <c r="AN969" s="102"/>
      <c r="AO969" s="102"/>
      <c r="AP969" s="102"/>
      <c r="AQ969" s="102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02"/>
      <c r="AK970" s="1"/>
      <c r="AL970" s="102"/>
      <c r="AM970" s="102"/>
      <c r="AN970" s="102"/>
      <c r="AO970" s="102"/>
      <c r="AP970" s="102"/>
      <c r="AQ970" s="102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02"/>
      <c r="AK971" s="1"/>
      <c r="AL971" s="102"/>
      <c r="AM971" s="102"/>
      <c r="AN971" s="102"/>
      <c r="AO971" s="102"/>
      <c r="AP971" s="102"/>
      <c r="AQ971" s="102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02"/>
      <c r="AK972" s="1"/>
      <c r="AL972" s="102"/>
      <c r="AM972" s="102"/>
      <c r="AN972" s="102"/>
      <c r="AO972" s="102"/>
      <c r="AP972" s="102"/>
      <c r="AQ972" s="102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02"/>
      <c r="AK973" s="1"/>
      <c r="AL973" s="102"/>
      <c r="AM973" s="102"/>
      <c r="AN973" s="102"/>
      <c r="AO973" s="102"/>
      <c r="AP973" s="102"/>
      <c r="AQ973" s="102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02"/>
      <c r="AK974" s="1"/>
      <c r="AL974" s="102"/>
      <c r="AM974" s="102"/>
      <c r="AN974" s="102"/>
      <c r="AO974" s="102"/>
      <c r="AP974" s="102"/>
      <c r="AQ974" s="102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02"/>
      <c r="AK975" s="1"/>
      <c r="AL975" s="102"/>
      <c r="AM975" s="102"/>
      <c r="AN975" s="102"/>
      <c r="AO975" s="102"/>
      <c r="AP975" s="102"/>
      <c r="AQ975" s="102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02"/>
      <c r="AK976" s="1"/>
      <c r="AL976" s="102"/>
      <c r="AM976" s="102"/>
      <c r="AN976" s="102"/>
      <c r="AO976" s="102"/>
      <c r="AP976" s="102"/>
      <c r="AQ976" s="102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02"/>
      <c r="AK977" s="1"/>
      <c r="AL977" s="102"/>
      <c r="AM977" s="102"/>
      <c r="AN977" s="102"/>
      <c r="AO977" s="102"/>
      <c r="AP977" s="102"/>
      <c r="AQ977" s="102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02"/>
      <c r="AK978" s="1"/>
      <c r="AL978" s="102"/>
      <c r="AM978" s="102"/>
      <c r="AN978" s="102"/>
      <c r="AO978" s="102"/>
      <c r="AP978" s="102"/>
      <c r="AQ978" s="102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02"/>
      <c r="AK979" s="1"/>
      <c r="AL979" s="102"/>
      <c r="AM979" s="102"/>
      <c r="AN979" s="102"/>
      <c r="AO979" s="102"/>
      <c r="AP979" s="102"/>
      <c r="AQ979" s="102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02"/>
      <c r="AK980" s="1"/>
      <c r="AL980" s="102"/>
      <c r="AM980" s="102"/>
      <c r="AN980" s="102"/>
      <c r="AO980" s="102"/>
      <c r="AP980" s="102"/>
      <c r="AQ980" s="102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02"/>
      <c r="AK981" s="1"/>
      <c r="AL981" s="102"/>
      <c r="AM981" s="102"/>
      <c r="AN981" s="102"/>
      <c r="AO981" s="102"/>
      <c r="AP981" s="102"/>
      <c r="AQ981" s="102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02"/>
      <c r="AK982" s="1"/>
      <c r="AL982" s="102"/>
      <c r="AM982" s="102"/>
      <c r="AN982" s="102"/>
      <c r="AO982" s="102"/>
      <c r="AP982" s="102"/>
      <c r="AQ982" s="102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02"/>
      <c r="AK983" s="1"/>
      <c r="AL983" s="102"/>
      <c r="AM983" s="102"/>
      <c r="AN983" s="102"/>
      <c r="AO983" s="102"/>
      <c r="AP983" s="102"/>
      <c r="AQ983" s="102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02"/>
      <c r="AK984" s="1"/>
      <c r="AL984" s="102"/>
      <c r="AM984" s="102"/>
      <c r="AN984" s="102"/>
      <c r="AO984" s="102"/>
      <c r="AP984" s="102"/>
      <c r="AQ984" s="102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02"/>
      <c r="AK985" s="1"/>
      <c r="AL985" s="102"/>
      <c r="AM985" s="102"/>
      <c r="AN985" s="102"/>
      <c r="AO985" s="102"/>
      <c r="AP985" s="102"/>
      <c r="AQ985" s="102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02"/>
      <c r="AK986" s="1"/>
      <c r="AL986" s="102"/>
      <c r="AM986" s="102"/>
      <c r="AN986" s="102"/>
      <c r="AO986" s="102"/>
      <c r="AP986" s="102"/>
      <c r="AQ986" s="102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02"/>
      <c r="AK987" s="1"/>
      <c r="AL987" s="102"/>
      <c r="AM987" s="102"/>
      <c r="AN987" s="102"/>
      <c r="AO987" s="102"/>
      <c r="AP987" s="102"/>
      <c r="AQ987" s="102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02"/>
      <c r="AK988" s="1"/>
      <c r="AL988" s="102"/>
      <c r="AM988" s="102"/>
      <c r="AN988" s="102"/>
      <c r="AO988" s="102"/>
      <c r="AP988" s="102"/>
      <c r="AQ988" s="102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02"/>
      <c r="AK989" s="1"/>
      <c r="AL989" s="102"/>
      <c r="AM989" s="102"/>
      <c r="AN989" s="102"/>
      <c r="AO989" s="102"/>
      <c r="AP989" s="102"/>
      <c r="AQ989" s="102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02"/>
      <c r="AK990" s="1"/>
      <c r="AL990" s="102"/>
      <c r="AM990" s="102"/>
      <c r="AN990" s="102"/>
      <c r="AO990" s="102"/>
      <c r="AP990" s="102"/>
      <c r="AQ990" s="102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02"/>
      <c r="AK991" s="1"/>
      <c r="AL991" s="102"/>
      <c r="AM991" s="102"/>
      <c r="AN991" s="102"/>
      <c r="AO991" s="102"/>
      <c r="AP991" s="102"/>
      <c r="AQ991" s="102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02"/>
      <c r="AK992" s="1"/>
      <c r="AL992" s="102"/>
      <c r="AM992" s="102"/>
      <c r="AN992" s="102"/>
      <c r="AO992" s="102"/>
      <c r="AP992" s="102"/>
      <c r="AQ992" s="102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02"/>
      <c r="AK993" s="1"/>
      <c r="AL993" s="102"/>
      <c r="AM993" s="102"/>
      <c r="AN993" s="102"/>
      <c r="AO993" s="102"/>
      <c r="AP993" s="102"/>
      <c r="AQ993" s="102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02"/>
      <c r="AK994" s="1"/>
      <c r="AL994" s="102"/>
      <c r="AM994" s="102"/>
      <c r="AN994" s="102"/>
      <c r="AO994" s="102"/>
      <c r="AP994" s="102"/>
      <c r="AQ994" s="102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02"/>
      <c r="AK995" s="1"/>
      <c r="AL995" s="102"/>
      <c r="AM995" s="102"/>
      <c r="AN995" s="102"/>
      <c r="AO995" s="102"/>
      <c r="AP995" s="102"/>
      <c r="AQ995" s="102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02"/>
      <c r="AK996" s="1"/>
      <c r="AL996" s="102"/>
      <c r="AM996" s="102"/>
      <c r="AN996" s="102"/>
      <c r="AO996" s="102"/>
      <c r="AP996" s="102"/>
      <c r="AQ996" s="102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02"/>
      <c r="AK997" s="1"/>
      <c r="AL997" s="102"/>
      <c r="AM997" s="102"/>
      <c r="AN997" s="102"/>
      <c r="AO997" s="102"/>
      <c r="AP997" s="102"/>
      <c r="AQ997" s="102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02"/>
      <c r="AK998" s="1"/>
      <c r="AL998" s="102"/>
      <c r="AM998" s="102"/>
      <c r="AN998" s="102"/>
      <c r="AO998" s="102"/>
      <c r="AP998" s="102"/>
      <c r="AQ998" s="102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02"/>
      <c r="AK999" s="1"/>
      <c r="AL999" s="102"/>
      <c r="AM999" s="102"/>
      <c r="AN999" s="102"/>
      <c r="AO999" s="102"/>
      <c r="AP999" s="102"/>
      <c r="AQ999" s="102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02"/>
      <c r="AK1000" s="1"/>
      <c r="AL1000" s="102"/>
      <c r="AM1000" s="102"/>
      <c r="AN1000" s="102"/>
      <c r="AO1000" s="102"/>
      <c r="AP1000" s="102"/>
      <c r="AQ1000" s="102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02"/>
      <c r="AK1001" s="1"/>
      <c r="AL1001" s="102"/>
      <c r="AM1001" s="102"/>
      <c r="AN1001" s="102"/>
      <c r="AO1001" s="102"/>
      <c r="AP1001" s="102"/>
      <c r="AQ1001" s="102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02"/>
      <c r="AK1002" s="1"/>
      <c r="AL1002" s="102"/>
      <c r="AM1002" s="102"/>
      <c r="AN1002" s="102"/>
      <c r="AO1002" s="102"/>
      <c r="AP1002" s="102"/>
      <c r="AQ1002" s="102"/>
    </row>
  </sheetData>
  <mergeCells count="1">
    <mergeCell ref="C13:D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6.57"/>
    <col customWidth="1" min="3" max="3" width="27.57"/>
    <col customWidth="1" min="4" max="4" width="16.29"/>
    <col customWidth="1" min="5" max="5" width="11.43"/>
    <col customWidth="1" min="6" max="6" width="6.29"/>
    <col customWidth="1" min="7" max="7" width="30.0"/>
    <col customWidth="1" min="8" max="8" width="14.43"/>
    <col customWidth="1" min="9" max="10" width="11.43"/>
    <col customWidth="1" min="11" max="11" width="4.86"/>
    <col customWidth="1" min="12" max="12" width="26.0"/>
    <col customWidth="1" min="13" max="31" width="11.43"/>
  </cols>
  <sheetData>
    <row r="1">
      <c r="A1" s="137"/>
      <c r="B1" s="138"/>
      <c r="C1" s="138"/>
      <c r="D1" s="138"/>
      <c r="E1" s="139"/>
      <c r="F1" s="138"/>
      <c r="G1" s="138"/>
      <c r="H1" s="140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</row>
    <row r="2" ht="22.5" customHeight="1">
      <c r="A2" s="137"/>
      <c r="B2" s="141" t="s">
        <v>89</v>
      </c>
      <c r="C2" s="9"/>
      <c r="D2" s="10"/>
      <c r="E2" s="142"/>
      <c r="F2" s="143" t="s">
        <v>90</v>
      </c>
      <c r="G2" s="9"/>
      <c r="H2" s="10"/>
      <c r="I2" s="144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</row>
    <row r="3" ht="6.0" customHeight="1">
      <c r="A3" s="137"/>
      <c r="B3" s="145"/>
      <c r="C3" s="145"/>
      <c r="D3" s="145"/>
      <c r="E3" s="139"/>
      <c r="F3" s="145"/>
      <c r="G3" s="145"/>
      <c r="H3" s="146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</row>
    <row r="4">
      <c r="A4" s="137"/>
      <c r="B4" s="147" t="s">
        <v>91</v>
      </c>
      <c r="C4" s="148" t="s">
        <v>92</v>
      </c>
      <c r="D4" s="149">
        <f>D5+D6</f>
        <v>7200000</v>
      </c>
      <c r="E4" s="137"/>
      <c r="F4" s="147" t="s">
        <v>91</v>
      </c>
      <c r="G4" s="148" t="s">
        <v>92</v>
      </c>
      <c r="H4" s="149">
        <f>H5+H6</f>
        <v>7200000</v>
      </c>
      <c r="I4" s="139"/>
      <c r="J4" s="139"/>
      <c r="K4" s="150"/>
      <c r="L4" s="150"/>
      <c r="M4" s="150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</row>
    <row r="5">
      <c r="A5" s="137"/>
      <c r="B5" s="151"/>
      <c r="C5" s="152" t="s">
        <v>93</v>
      </c>
      <c r="D5" s="153">
        <f>PRESUPUESTO!C12</f>
        <v>4333333.333</v>
      </c>
      <c r="E5" s="137"/>
      <c r="F5" s="151"/>
      <c r="G5" s="152" t="s">
        <v>93</v>
      </c>
      <c r="H5" s="153">
        <f>SUMIF('PRESUPUESTO MEJORADO'!D:D,"Fijo",'PRESUPUESTO MEJORADO'!H:H)</f>
        <v>4333333.333</v>
      </c>
      <c r="I5" s="139"/>
      <c r="J5" s="139"/>
      <c r="K5" s="150"/>
      <c r="L5" s="150"/>
      <c r="M5" s="150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</row>
    <row r="6">
      <c r="A6" s="137"/>
      <c r="B6" s="151"/>
      <c r="C6" s="152" t="s">
        <v>94</v>
      </c>
      <c r="D6" s="153">
        <f>PRESUPUESTO!D12</f>
        <v>2866666.667</v>
      </c>
      <c r="E6" s="137"/>
      <c r="F6" s="151"/>
      <c r="G6" s="152" t="s">
        <v>94</v>
      </c>
      <c r="H6" s="153">
        <f>SUMIF('PRESUPUESTO MEJORADO'!D:D,"Variable",'PRESUPUESTO MEJORADO'!H:H)</f>
        <v>2866666.667</v>
      </c>
      <c r="I6" s="139"/>
      <c r="J6" s="139"/>
      <c r="K6" s="150"/>
      <c r="L6" s="150"/>
      <c r="M6" s="150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</row>
    <row r="7">
      <c r="A7" s="137"/>
      <c r="B7" s="154" t="s">
        <v>95</v>
      </c>
      <c r="C7" s="155" t="s">
        <v>96</v>
      </c>
      <c r="D7" s="156">
        <f>D8+D9</f>
        <v>3860000</v>
      </c>
      <c r="E7" s="137"/>
      <c r="F7" s="154" t="s">
        <v>95</v>
      </c>
      <c r="G7" s="155" t="s">
        <v>96</v>
      </c>
      <c r="H7" s="156">
        <f>H8+H9</f>
        <v>3860000</v>
      </c>
      <c r="I7" s="139"/>
      <c r="J7" s="139"/>
      <c r="K7" s="150"/>
      <c r="L7" s="150"/>
      <c r="M7" s="150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</row>
    <row r="8">
      <c r="A8" s="157"/>
      <c r="B8" s="151"/>
      <c r="C8" s="152" t="s">
        <v>97</v>
      </c>
      <c r="D8" s="153">
        <f>PRESUPUESTO!C24-PRESUPUESTO!F19-PRESUPUESTO!F18-PRESUPUESTO!F17</f>
        <v>3660000</v>
      </c>
      <c r="E8" s="137"/>
      <c r="F8" s="151"/>
      <c r="G8" s="152" t="s">
        <v>97</v>
      </c>
      <c r="H8" s="153">
        <f>PRESUPUESTO!C24-PRESUPUESTO!F19-PRESUPUESTO!F18-PRESUPUESTO!F17</f>
        <v>3660000</v>
      </c>
      <c r="I8" s="139"/>
      <c r="J8" s="139"/>
      <c r="K8" s="150"/>
      <c r="L8" s="150"/>
      <c r="M8" s="150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</row>
    <row r="9">
      <c r="A9" s="137"/>
      <c r="B9" s="151"/>
      <c r="C9" s="152" t="s">
        <v>98</v>
      </c>
      <c r="D9" s="153">
        <f>PRESUPUESTO!F17</f>
        <v>200000</v>
      </c>
      <c r="E9" s="137"/>
      <c r="F9" s="151"/>
      <c r="G9" s="152" t="s">
        <v>98</v>
      </c>
      <c r="H9" s="153">
        <f>PRESUPUESTO!F17</f>
        <v>200000</v>
      </c>
      <c r="I9" s="139"/>
      <c r="J9" s="139"/>
      <c r="K9" s="150"/>
      <c r="L9" s="150"/>
      <c r="M9" s="150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</row>
    <row r="10">
      <c r="A10" s="137"/>
      <c r="B10" s="154" t="s">
        <v>95</v>
      </c>
      <c r="C10" s="155" t="s">
        <v>99</v>
      </c>
      <c r="D10" s="156">
        <f>D11+D12</f>
        <v>1200000</v>
      </c>
      <c r="E10" s="137"/>
      <c r="F10" s="154" t="s">
        <v>95</v>
      </c>
      <c r="G10" s="155" t="s">
        <v>99</v>
      </c>
      <c r="H10" s="156">
        <f>H11+H12</f>
        <v>1200000</v>
      </c>
      <c r="I10" s="139"/>
      <c r="J10" s="139"/>
      <c r="K10" s="150"/>
      <c r="L10" s="150"/>
      <c r="M10" s="150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</row>
    <row r="11">
      <c r="A11" s="137"/>
      <c r="B11" s="151"/>
      <c r="C11" s="152" t="s">
        <v>100</v>
      </c>
      <c r="D11" s="153">
        <f>PRESUPUESTO!F18</f>
        <v>1200000</v>
      </c>
      <c r="E11" s="137"/>
      <c r="F11" s="151"/>
      <c r="G11" s="152" t="s">
        <v>100</v>
      </c>
      <c r="H11" s="153">
        <f>PRESUPUESTO!F18</f>
        <v>1200000</v>
      </c>
      <c r="I11" s="139"/>
      <c r="J11" s="139"/>
      <c r="K11" s="150"/>
      <c r="L11" s="150"/>
      <c r="M11" s="150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</row>
    <row r="12">
      <c r="A12" s="137"/>
      <c r="B12" s="151"/>
      <c r="C12" s="152" t="s">
        <v>101</v>
      </c>
      <c r="D12" s="153">
        <f>PRESUPUESTO!F19</f>
        <v>0</v>
      </c>
      <c r="E12" s="137"/>
      <c r="F12" s="151"/>
      <c r="G12" s="152" t="s">
        <v>101</v>
      </c>
      <c r="H12" s="153">
        <f>PRESUPUESTO!F19</f>
        <v>0</v>
      </c>
      <c r="I12" s="139"/>
      <c r="J12" s="139"/>
      <c r="K12" s="150"/>
      <c r="L12" s="150"/>
      <c r="M12" s="150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</row>
    <row r="13">
      <c r="A13" s="137"/>
      <c r="B13" s="158"/>
      <c r="C13" s="159"/>
      <c r="D13" s="160"/>
      <c r="E13" s="137"/>
      <c r="F13" s="158"/>
      <c r="G13" s="159"/>
      <c r="H13" s="160"/>
      <c r="I13" s="139"/>
      <c r="J13" s="139"/>
      <c r="K13" s="150"/>
      <c r="L13" s="150"/>
      <c r="M13" s="150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</row>
    <row r="14">
      <c r="A14" s="137"/>
      <c r="B14" s="161" t="s">
        <v>102</v>
      </c>
      <c r="C14" s="162" t="s">
        <v>103</v>
      </c>
      <c r="D14" s="163">
        <f>D4-D7-D10</f>
        <v>2140000</v>
      </c>
      <c r="E14" s="137"/>
      <c r="F14" s="161" t="s">
        <v>102</v>
      </c>
      <c r="G14" s="162" t="s">
        <v>103</v>
      </c>
      <c r="H14" s="163">
        <f>H4-H7-H10</f>
        <v>2140000</v>
      </c>
      <c r="I14" s="139"/>
      <c r="J14" s="139"/>
      <c r="K14" s="150"/>
      <c r="L14" s="150"/>
      <c r="M14" s="150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</row>
    <row r="15">
      <c r="A15" s="137"/>
      <c r="B15" s="164"/>
      <c r="C15" s="165"/>
      <c r="D15" s="166"/>
      <c r="E15" s="137"/>
      <c r="F15" s="164"/>
      <c r="G15" s="165"/>
      <c r="H15" s="166"/>
      <c r="I15" s="139"/>
      <c r="J15" s="139"/>
      <c r="K15" s="150"/>
      <c r="L15" s="150"/>
      <c r="M15" s="150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</row>
    <row r="16">
      <c r="A16" s="137"/>
      <c r="B16" s="167" t="s">
        <v>95</v>
      </c>
      <c r="C16" s="168" t="s">
        <v>104</v>
      </c>
      <c r="D16" s="169"/>
      <c r="E16" s="137"/>
      <c r="F16" s="167" t="s">
        <v>95</v>
      </c>
      <c r="G16" s="168" t="s">
        <v>104</v>
      </c>
      <c r="H16" s="169">
        <f>'MIS FINANZAS'!C3</f>
        <v>500000</v>
      </c>
      <c r="I16" s="139"/>
      <c r="J16" s="139"/>
      <c r="K16" s="150"/>
      <c r="L16" s="150"/>
      <c r="M16" s="150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</row>
    <row r="17">
      <c r="A17" s="137"/>
      <c r="B17" s="170" t="s">
        <v>95</v>
      </c>
      <c r="C17" s="171" t="s">
        <v>85</v>
      </c>
      <c r="D17" s="172">
        <f>D18+D19</f>
        <v>3285000</v>
      </c>
      <c r="E17" s="137"/>
      <c r="F17" s="170" t="s">
        <v>95</v>
      </c>
      <c r="G17" s="171" t="s">
        <v>85</v>
      </c>
      <c r="H17" s="172">
        <f>H18+H19</f>
        <v>1215000</v>
      </c>
      <c r="I17" s="139"/>
      <c r="J17" s="139"/>
      <c r="K17" s="150"/>
      <c r="L17" s="150"/>
      <c r="M17" s="150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</row>
    <row r="18">
      <c r="A18" s="157"/>
      <c r="B18" s="151"/>
      <c r="C18" s="152" t="s">
        <v>105</v>
      </c>
      <c r="D18" s="153">
        <f>PRESUPUESTO!D24</f>
        <v>1665000</v>
      </c>
      <c r="E18" s="137"/>
      <c r="F18" s="151"/>
      <c r="G18" s="152" t="s">
        <v>105</v>
      </c>
      <c r="H18" s="153">
        <f>SUMIF('PRESUPUESTO MEJORADO'!D:D,"No tan necesario",'PRESUPUESTO MEJORADO'!H:H)</f>
        <v>715000</v>
      </c>
      <c r="I18" s="139"/>
      <c r="J18" s="139"/>
      <c r="K18" s="150"/>
      <c r="L18" s="150"/>
      <c r="M18" s="150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</row>
    <row r="19">
      <c r="A19" s="137"/>
      <c r="B19" s="151"/>
      <c r="C19" s="152" t="s">
        <v>106</v>
      </c>
      <c r="D19" s="153">
        <f>PRESUPUESTO!E24</f>
        <v>1620000</v>
      </c>
      <c r="E19" s="137"/>
      <c r="F19" s="151"/>
      <c r="G19" s="152" t="s">
        <v>106</v>
      </c>
      <c r="H19" s="153">
        <f>SUMIF('PRESUPUESTO MEJORADO'!D:D,"No necesario",'PRESUPUESTO MEJORADO'!H:H)</f>
        <v>500000</v>
      </c>
      <c r="I19" s="139"/>
      <c r="J19" s="139"/>
      <c r="K19" s="150"/>
      <c r="L19" s="150"/>
      <c r="M19" s="150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</row>
    <row r="20">
      <c r="A20" s="137"/>
      <c r="B20" s="158"/>
      <c r="C20" s="159"/>
      <c r="D20" s="160"/>
      <c r="E20" s="137"/>
      <c r="F20" s="158"/>
      <c r="G20" s="159"/>
      <c r="H20" s="160"/>
      <c r="I20" s="139"/>
      <c r="J20" s="139"/>
      <c r="K20" s="150"/>
      <c r="L20" s="150"/>
      <c r="M20" s="150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</row>
    <row r="21">
      <c r="A21" s="137"/>
      <c r="B21" s="173" t="s">
        <v>102</v>
      </c>
      <c r="C21" s="174" t="s">
        <v>107</v>
      </c>
      <c r="D21" s="175">
        <f>D14-D16-D17</f>
        <v>-1145000</v>
      </c>
      <c r="E21" s="137"/>
      <c r="F21" s="173" t="s">
        <v>102</v>
      </c>
      <c r="G21" s="174" t="s">
        <v>107</v>
      </c>
      <c r="H21" s="175">
        <f>H14-H16-H17</f>
        <v>425000</v>
      </c>
      <c r="I21" s="138"/>
      <c r="J21" s="138"/>
      <c r="K21" s="150"/>
      <c r="L21" s="150"/>
      <c r="M21" s="150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</row>
    <row r="22" ht="6.75" customHeight="1">
      <c r="A22" s="176"/>
      <c r="B22" s="177"/>
      <c r="C22" s="178"/>
      <c r="D22" s="179"/>
      <c r="E22" s="176"/>
      <c r="F22" s="177"/>
      <c r="G22" s="178"/>
      <c r="H22" s="179"/>
      <c r="I22" s="176"/>
      <c r="J22" s="176"/>
      <c r="K22" s="180"/>
      <c r="L22" s="180"/>
      <c r="M22" s="180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</row>
    <row r="23" ht="25.5" customHeight="1">
      <c r="A23" s="137"/>
      <c r="B23" s="181"/>
      <c r="C23" s="182" t="s">
        <v>108</v>
      </c>
      <c r="D23" s="183">
        <f>D16+D21</f>
        <v>-1145000</v>
      </c>
      <c r="E23" s="184"/>
      <c r="F23" s="185"/>
      <c r="G23" s="182" t="s">
        <v>108</v>
      </c>
      <c r="H23" s="183">
        <f>H16+H21</f>
        <v>925000</v>
      </c>
      <c r="I23" s="186"/>
      <c r="J23" s="145"/>
      <c r="K23" s="150"/>
      <c r="L23" s="150"/>
      <c r="M23" s="150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</row>
    <row r="24">
      <c r="A24" s="137"/>
      <c r="B24" s="145"/>
      <c r="C24" s="145"/>
      <c r="D24" s="145"/>
      <c r="E24" s="139"/>
      <c r="F24" s="145"/>
      <c r="G24" s="145"/>
      <c r="H24" s="146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</row>
    <row r="25">
      <c r="A25" s="137"/>
      <c r="B25" s="139"/>
      <c r="C25" s="139"/>
      <c r="D25" s="139"/>
      <c r="E25" s="139"/>
      <c r="F25" s="139"/>
      <c r="G25" s="139"/>
      <c r="H25" s="187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</row>
    <row r="26" ht="15.75" customHeight="1">
      <c r="A26" s="137"/>
      <c r="B26" s="139"/>
      <c r="C26" s="139"/>
      <c r="D26" s="139"/>
      <c r="E26" s="139"/>
      <c r="F26" s="139"/>
      <c r="G26" s="139"/>
      <c r="H26" s="187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</row>
    <row r="27" ht="15.75" customHeight="1">
      <c r="A27" s="137"/>
      <c r="B27" s="139"/>
      <c r="C27" s="139"/>
      <c r="D27" s="139"/>
      <c r="E27" s="139"/>
      <c r="F27" s="139"/>
      <c r="G27" s="139"/>
      <c r="H27" s="187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</row>
    <row r="28" ht="15.75" customHeight="1">
      <c r="A28" s="137"/>
      <c r="B28" s="139"/>
      <c r="C28" s="139"/>
      <c r="D28" s="139"/>
      <c r="E28" s="139"/>
      <c r="F28" s="139"/>
      <c r="G28" s="139"/>
      <c r="H28" s="187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</row>
    <row r="29" ht="15.75" customHeight="1">
      <c r="A29" s="137"/>
      <c r="B29" s="139"/>
      <c r="C29" s="139"/>
      <c r="D29" s="139"/>
      <c r="E29" s="139"/>
      <c r="F29" s="139"/>
      <c r="G29" s="139"/>
      <c r="H29" s="187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</row>
    <row r="30" ht="15.75" customHeight="1">
      <c r="A30" s="137"/>
      <c r="B30" s="139"/>
      <c r="C30" s="139"/>
      <c r="D30" s="139"/>
      <c r="E30" s="139"/>
      <c r="F30" s="139"/>
      <c r="G30" s="139"/>
      <c r="H30" s="187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</row>
    <row r="31" ht="15.75" customHeight="1">
      <c r="A31" s="137"/>
      <c r="B31" s="139"/>
      <c r="C31" s="139"/>
      <c r="D31" s="139"/>
      <c r="E31" s="139"/>
      <c r="F31" s="139"/>
      <c r="G31" s="139"/>
      <c r="H31" s="187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</row>
    <row r="32" ht="15.75" customHeight="1">
      <c r="A32" s="137"/>
      <c r="B32" s="139"/>
      <c r="C32" s="139"/>
      <c r="D32" s="139"/>
      <c r="E32" s="139"/>
      <c r="F32" s="139"/>
      <c r="G32" s="139"/>
      <c r="H32" s="187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</row>
    <row r="33" ht="15.75" customHeight="1">
      <c r="A33" s="137"/>
      <c r="B33" s="139"/>
      <c r="C33" s="139"/>
      <c r="D33" s="139"/>
      <c r="E33" s="139"/>
      <c r="F33" s="139"/>
      <c r="G33" s="139"/>
      <c r="H33" s="187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</row>
    <row r="34" ht="15.75" customHeight="1">
      <c r="A34" s="137"/>
      <c r="B34" s="139"/>
      <c r="C34" s="139"/>
      <c r="D34" s="139"/>
      <c r="E34" s="139"/>
      <c r="F34" s="139"/>
      <c r="G34" s="139"/>
      <c r="H34" s="187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</row>
    <row r="35" ht="15.75" customHeight="1">
      <c r="A35" s="137"/>
      <c r="B35" s="139"/>
      <c r="C35" s="139"/>
      <c r="D35" s="139"/>
      <c r="E35" s="139"/>
      <c r="F35" s="139"/>
      <c r="G35" s="139"/>
      <c r="H35" s="187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</row>
    <row r="36" ht="15.75" customHeight="1">
      <c r="A36" s="137"/>
      <c r="B36" s="139"/>
      <c r="C36" s="139"/>
      <c r="D36" s="139"/>
      <c r="E36" s="139"/>
      <c r="F36" s="139"/>
      <c r="G36" s="139"/>
      <c r="H36" s="187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</row>
    <row r="37" ht="15.75" customHeight="1">
      <c r="A37" s="137"/>
      <c r="B37" s="139"/>
      <c r="C37" s="139"/>
      <c r="D37" s="139"/>
      <c r="E37" s="139"/>
      <c r="F37" s="139"/>
      <c r="G37" s="139"/>
      <c r="H37" s="187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</row>
    <row r="38" ht="15.75" customHeight="1">
      <c r="A38" s="137"/>
      <c r="B38" s="139"/>
      <c r="C38" s="139"/>
      <c r="D38" s="139"/>
      <c r="E38" s="139"/>
      <c r="F38" s="139"/>
      <c r="G38" s="139"/>
      <c r="H38" s="187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</row>
    <row r="39" ht="15.75" customHeight="1">
      <c r="A39" s="137"/>
      <c r="B39" s="139"/>
      <c r="C39" s="139"/>
      <c r="D39" s="139"/>
      <c r="E39" s="139"/>
      <c r="F39" s="139"/>
      <c r="G39" s="139"/>
      <c r="H39" s="187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</row>
    <row r="40" ht="15.75" customHeight="1">
      <c r="A40" s="137"/>
      <c r="B40" s="139"/>
      <c r="C40" s="139"/>
      <c r="D40" s="139"/>
      <c r="E40" s="139"/>
      <c r="F40" s="139"/>
      <c r="G40" s="139"/>
      <c r="H40" s="187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</row>
    <row r="41" ht="15.75" customHeight="1">
      <c r="A41" s="137"/>
      <c r="B41" s="139"/>
      <c r="C41" s="139"/>
      <c r="D41" s="139"/>
      <c r="E41" s="139"/>
      <c r="F41" s="139"/>
      <c r="G41" s="139"/>
      <c r="H41" s="187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</row>
    <row r="42" ht="15.75" customHeight="1">
      <c r="A42" s="137"/>
      <c r="B42" s="139"/>
      <c r="C42" s="139"/>
      <c r="D42" s="139"/>
      <c r="E42" s="139"/>
      <c r="F42" s="139"/>
      <c r="G42" s="139"/>
      <c r="H42" s="187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</row>
    <row r="43" ht="15.75" customHeight="1">
      <c r="A43" s="137"/>
      <c r="B43" s="139"/>
      <c r="C43" s="139"/>
      <c r="D43" s="139"/>
      <c r="E43" s="139"/>
      <c r="F43" s="139"/>
      <c r="G43" s="139"/>
      <c r="H43" s="187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</row>
    <row r="44" ht="15.75" customHeight="1">
      <c r="A44" s="137"/>
      <c r="B44" s="139"/>
      <c r="C44" s="139"/>
      <c r="D44" s="139"/>
      <c r="E44" s="139"/>
      <c r="F44" s="139"/>
      <c r="G44" s="139"/>
      <c r="H44" s="187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</row>
    <row r="45" ht="15.75" customHeight="1">
      <c r="A45" s="137"/>
      <c r="B45" s="139"/>
      <c r="C45" s="139"/>
      <c r="D45" s="139"/>
      <c r="E45" s="139"/>
      <c r="F45" s="139"/>
      <c r="G45" s="139"/>
      <c r="H45" s="187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</row>
    <row r="46" ht="15.75" customHeight="1">
      <c r="A46" s="137"/>
      <c r="B46" s="139"/>
      <c r="C46" s="139"/>
      <c r="D46" s="139"/>
      <c r="E46" s="139"/>
      <c r="F46" s="139"/>
      <c r="G46" s="139"/>
      <c r="H46" s="187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</row>
    <row r="47" ht="15.75" customHeight="1">
      <c r="A47" s="137"/>
      <c r="B47" s="139"/>
      <c r="C47" s="139"/>
      <c r="D47" s="139"/>
      <c r="E47" s="139"/>
      <c r="F47" s="139"/>
      <c r="G47" s="139"/>
      <c r="H47" s="187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</row>
    <row r="48" ht="15.75" customHeight="1">
      <c r="A48" s="137"/>
      <c r="B48" s="139"/>
      <c r="C48" s="139"/>
      <c r="D48" s="139"/>
      <c r="E48" s="139"/>
      <c r="F48" s="139"/>
      <c r="G48" s="139"/>
      <c r="H48" s="187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</row>
    <row r="49" ht="15.75" customHeight="1">
      <c r="A49" s="137"/>
      <c r="B49" s="139"/>
      <c r="C49" s="139"/>
      <c r="D49" s="139"/>
      <c r="E49" s="139"/>
      <c r="F49" s="139"/>
      <c r="G49" s="139"/>
      <c r="H49" s="187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</row>
    <row r="50" ht="15.75" customHeight="1">
      <c r="A50" s="137"/>
      <c r="B50" s="139"/>
      <c r="C50" s="139"/>
      <c r="D50" s="139"/>
      <c r="E50" s="139"/>
      <c r="F50" s="139"/>
      <c r="G50" s="139"/>
      <c r="H50" s="187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</row>
    <row r="51" ht="15.75" customHeight="1">
      <c r="A51" s="137"/>
      <c r="B51" s="139"/>
      <c r="C51" s="139"/>
      <c r="D51" s="139"/>
      <c r="E51" s="139"/>
      <c r="F51" s="139"/>
      <c r="G51" s="139"/>
      <c r="H51" s="187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</row>
    <row r="52" ht="15.75" customHeight="1">
      <c r="A52" s="137"/>
      <c r="B52" s="139"/>
      <c r="C52" s="139"/>
      <c r="D52" s="139"/>
      <c r="E52" s="139"/>
      <c r="F52" s="139"/>
      <c r="G52" s="139"/>
      <c r="H52" s="187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</row>
    <row r="53" ht="15.75" customHeight="1">
      <c r="A53" s="137"/>
      <c r="B53" s="139"/>
      <c r="C53" s="139"/>
      <c r="D53" s="139"/>
      <c r="E53" s="139"/>
      <c r="F53" s="139"/>
      <c r="G53" s="139"/>
      <c r="H53" s="187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</row>
    <row r="54" ht="15.75" customHeight="1">
      <c r="A54" s="137"/>
      <c r="B54" s="139"/>
      <c r="C54" s="139"/>
      <c r="D54" s="139"/>
      <c r="E54" s="139"/>
      <c r="F54" s="139"/>
      <c r="G54" s="139"/>
      <c r="H54" s="187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</row>
    <row r="55" ht="15.75" customHeight="1">
      <c r="A55" s="137"/>
      <c r="B55" s="139"/>
      <c r="C55" s="139"/>
      <c r="D55" s="139"/>
      <c r="E55" s="139"/>
      <c r="F55" s="139"/>
      <c r="G55" s="139"/>
      <c r="H55" s="187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</row>
    <row r="56" ht="15.75" customHeight="1">
      <c r="A56" s="137"/>
      <c r="B56" s="139"/>
      <c r="C56" s="139"/>
      <c r="D56" s="139"/>
      <c r="E56" s="139"/>
      <c r="F56" s="139"/>
      <c r="G56" s="139"/>
      <c r="H56" s="187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</row>
    <row r="57" ht="15.75" customHeight="1">
      <c r="A57" s="137"/>
      <c r="B57" s="139"/>
      <c r="C57" s="139"/>
      <c r="D57" s="139"/>
      <c r="E57" s="139"/>
      <c r="F57" s="139"/>
      <c r="G57" s="139"/>
      <c r="H57" s="187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</row>
    <row r="58" ht="15.75" customHeight="1">
      <c r="A58" s="137"/>
      <c r="B58" s="139"/>
      <c r="C58" s="139"/>
      <c r="D58" s="139"/>
      <c r="E58" s="139"/>
      <c r="F58" s="139"/>
      <c r="G58" s="139"/>
      <c r="H58" s="187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</row>
    <row r="59" ht="15.75" customHeight="1">
      <c r="A59" s="137"/>
      <c r="B59" s="139"/>
      <c r="C59" s="139"/>
      <c r="D59" s="139"/>
      <c r="E59" s="139"/>
      <c r="F59" s="139"/>
      <c r="G59" s="139"/>
      <c r="H59" s="187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</row>
    <row r="60" ht="15.75" customHeight="1">
      <c r="A60" s="137"/>
      <c r="B60" s="139"/>
      <c r="C60" s="139"/>
      <c r="D60" s="139"/>
      <c r="E60" s="139"/>
      <c r="F60" s="139"/>
      <c r="G60" s="139"/>
      <c r="H60" s="187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</row>
    <row r="61" ht="15.75" customHeight="1">
      <c r="A61" s="137"/>
      <c r="B61" s="139"/>
      <c r="C61" s="139"/>
      <c r="D61" s="139"/>
      <c r="E61" s="139"/>
      <c r="F61" s="139"/>
      <c r="G61" s="139"/>
      <c r="H61" s="187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</row>
    <row r="62" ht="15.75" customHeight="1">
      <c r="A62" s="137"/>
      <c r="B62" s="139"/>
      <c r="C62" s="139"/>
      <c r="D62" s="139"/>
      <c r="E62" s="139"/>
      <c r="F62" s="139"/>
      <c r="G62" s="139"/>
      <c r="H62" s="187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</row>
    <row r="63" ht="15.75" customHeight="1">
      <c r="A63" s="137"/>
      <c r="B63" s="139"/>
      <c r="C63" s="139"/>
      <c r="D63" s="139"/>
      <c r="E63" s="139"/>
      <c r="F63" s="139"/>
      <c r="G63" s="139"/>
      <c r="H63" s="187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</row>
    <row r="64" ht="15.75" customHeight="1">
      <c r="A64" s="137"/>
      <c r="B64" s="139"/>
      <c r="C64" s="139"/>
      <c r="D64" s="139"/>
      <c r="E64" s="139"/>
      <c r="F64" s="139"/>
      <c r="G64" s="139"/>
      <c r="H64" s="187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</row>
    <row r="65" ht="15.75" customHeight="1">
      <c r="A65" s="137"/>
      <c r="B65" s="139"/>
      <c r="C65" s="139"/>
      <c r="D65" s="139"/>
      <c r="E65" s="139"/>
      <c r="F65" s="139"/>
      <c r="G65" s="139"/>
      <c r="H65" s="187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</row>
    <row r="66" ht="15.75" customHeight="1">
      <c r="A66" s="137"/>
      <c r="B66" s="139"/>
      <c r="C66" s="139"/>
      <c r="D66" s="139"/>
      <c r="E66" s="139"/>
      <c r="F66" s="139"/>
      <c r="G66" s="139"/>
      <c r="H66" s="187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</row>
    <row r="67" ht="15.75" customHeight="1">
      <c r="A67" s="137"/>
      <c r="B67" s="139"/>
      <c r="C67" s="139"/>
      <c r="D67" s="139"/>
      <c r="E67" s="139"/>
      <c r="F67" s="139"/>
      <c r="G67" s="139"/>
      <c r="H67" s="187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</row>
    <row r="68" ht="15.75" customHeight="1">
      <c r="A68" s="137"/>
      <c r="B68" s="139"/>
      <c r="C68" s="139"/>
      <c r="D68" s="139"/>
      <c r="E68" s="139"/>
      <c r="F68" s="139"/>
      <c r="G68" s="139"/>
      <c r="H68" s="187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</row>
    <row r="69" ht="15.75" customHeight="1">
      <c r="A69" s="137"/>
      <c r="B69" s="139"/>
      <c r="C69" s="139"/>
      <c r="D69" s="139"/>
      <c r="E69" s="139"/>
      <c r="F69" s="139"/>
      <c r="G69" s="139"/>
      <c r="H69" s="187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</row>
    <row r="70" ht="15.75" customHeight="1">
      <c r="A70" s="137"/>
      <c r="B70" s="139"/>
      <c r="C70" s="139"/>
      <c r="D70" s="139"/>
      <c r="E70" s="139"/>
      <c r="F70" s="139"/>
      <c r="G70" s="139"/>
      <c r="H70" s="187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</row>
    <row r="71" ht="15.75" customHeight="1">
      <c r="A71" s="137"/>
      <c r="B71" s="139"/>
      <c r="C71" s="139"/>
      <c r="D71" s="139"/>
      <c r="E71" s="139"/>
      <c r="F71" s="139"/>
      <c r="G71" s="139"/>
      <c r="H71" s="187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</row>
    <row r="72" ht="15.75" customHeight="1">
      <c r="A72" s="137"/>
      <c r="B72" s="139"/>
      <c r="C72" s="139"/>
      <c r="D72" s="139"/>
      <c r="E72" s="139"/>
      <c r="F72" s="139"/>
      <c r="G72" s="139"/>
      <c r="H72" s="187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</row>
    <row r="73" ht="15.75" customHeight="1">
      <c r="A73" s="137"/>
      <c r="B73" s="139"/>
      <c r="C73" s="139"/>
      <c r="D73" s="139"/>
      <c r="E73" s="139"/>
      <c r="F73" s="139"/>
      <c r="G73" s="139"/>
      <c r="H73" s="187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</row>
    <row r="74" ht="15.75" customHeight="1">
      <c r="A74" s="137"/>
      <c r="B74" s="139"/>
      <c r="C74" s="139"/>
      <c r="D74" s="139"/>
      <c r="E74" s="139"/>
      <c r="F74" s="139"/>
      <c r="G74" s="139"/>
      <c r="H74" s="187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</row>
    <row r="75" ht="15.75" customHeight="1">
      <c r="A75" s="137"/>
      <c r="B75" s="139"/>
      <c r="C75" s="139"/>
      <c r="D75" s="139"/>
      <c r="E75" s="139"/>
      <c r="F75" s="139"/>
      <c r="G75" s="139"/>
      <c r="H75" s="187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</row>
    <row r="76" ht="15.75" customHeight="1">
      <c r="A76" s="137"/>
      <c r="B76" s="139"/>
      <c r="C76" s="139"/>
      <c r="D76" s="139"/>
      <c r="E76" s="139"/>
      <c r="F76" s="139"/>
      <c r="G76" s="139"/>
      <c r="H76" s="187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</row>
    <row r="77" ht="15.75" customHeight="1">
      <c r="A77" s="137"/>
      <c r="B77" s="139"/>
      <c r="C77" s="139"/>
      <c r="D77" s="139"/>
      <c r="E77" s="139"/>
      <c r="F77" s="139"/>
      <c r="G77" s="139"/>
      <c r="H77" s="187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</row>
    <row r="78" ht="15.75" customHeight="1">
      <c r="A78" s="137"/>
      <c r="B78" s="139"/>
      <c r="C78" s="139"/>
      <c r="D78" s="139"/>
      <c r="E78" s="139"/>
      <c r="F78" s="139"/>
      <c r="G78" s="139"/>
      <c r="H78" s="187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</row>
    <row r="79" ht="15.75" customHeight="1">
      <c r="A79" s="137"/>
      <c r="B79" s="139"/>
      <c r="C79" s="139"/>
      <c r="D79" s="139"/>
      <c r="E79" s="139"/>
      <c r="F79" s="139"/>
      <c r="G79" s="139"/>
      <c r="H79" s="187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</row>
    <row r="80" ht="15.75" customHeight="1">
      <c r="A80" s="137"/>
      <c r="B80" s="139"/>
      <c r="C80" s="139"/>
      <c r="D80" s="139"/>
      <c r="E80" s="139"/>
      <c r="F80" s="139"/>
      <c r="G80" s="139"/>
      <c r="H80" s="187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</row>
    <row r="81" ht="15.75" customHeight="1">
      <c r="A81" s="137"/>
      <c r="B81" s="139"/>
      <c r="C81" s="139"/>
      <c r="D81" s="139"/>
      <c r="E81" s="139"/>
      <c r="F81" s="139"/>
      <c r="G81" s="139"/>
      <c r="H81" s="187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  <c r="AA81" s="139"/>
      <c r="AB81" s="139"/>
      <c r="AC81" s="139"/>
      <c r="AD81" s="139"/>
      <c r="AE81" s="139"/>
    </row>
    <row r="82" ht="15.75" customHeight="1">
      <c r="A82" s="137"/>
      <c r="B82" s="139"/>
      <c r="C82" s="139"/>
      <c r="D82" s="139"/>
      <c r="E82" s="139"/>
      <c r="F82" s="139"/>
      <c r="G82" s="139"/>
      <c r="H82" s="187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</row>
    <row r="83" ht="15.75" customHeight="1">
      <c r="A83" s="137"/>
      <c r="B83" s="139"/>
      <c r="C83" s="139"/>
      <c r="D83" s="139"/>
      <c r="E83" s="139"/>
      <c r="F83" s="139"/>
      <c r="G83" s="139"/>
      <c r="H83" s="187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</row>
    <row r="84" ht="15.75" customHeight="1">
      <c r="A84" s="137"/>
      <c r="B84" s="139"/>
      <c r="C84" s="139"/>
      <c r="D84" s="139"/>
      <c r="E84" s="139"/>
      <c r="F84" s="139"/>
      <c r="G84" s="139"/>
      <c r="H84" s="187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</row>
    <row r="85" ht="15.75" customHeight="1">
      <c r="A85" s="137"/>
      <c r="B85" s="139"/>
      <c r="C85" s="139"/>
      <c r="D85" s="139"/>
      <c r="E85" s="139"/>
      <c r="F85" s="139"/>
      <c r="G85" s="139"/>
      <c r="H85" s="187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</row>
    <row r="86" ht="15.75" customHeight="1">
      <c r="A86" s="137"/>
      <c r="B86" s="139"/>
      <c r="C86" s="139"/>
      <c r="D86" s="139"/>
      <c r="E86" s="139"/>
      <c r="F86" s="139"/>
      <c r="G86" s="139"/>
      <c r="H86" s="187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</row>
    <row r="87" ht="15.75" customHeight="1">
      <c r="A87" s="137"/>
      <c r="B87" s="139"/>
      <c r="C87" s="139"/>
      <c r="D87" s="139"/>
      <c r="E87" s="139"/>
      <c r="F87" s="139"/>
      <c r="G87" s="139"/>
      <c r="H87" s="187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</row>
    <row r="88" ht="15.75" customHeight="1">
      <c r="A88" s="137"/>
      <c r="B88" s="139"/>
      <c r="C88" s="139"/>
      <c r="D88" s="139"/>
      <c r="E88" s="139"/>
      <c r="F88" s="139"/>
      <c r="G88" s="139"/>
      <c r="H88" s="187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</row>
    <row r="89" ht="15.75" customHeight="1">
      <c r="A89" s="137"/>
      <c r="B89" s="139"/>
      <c r="C89" s="139"/>
      <c r="D89" s="139"/>
      <c r="E89" s="139"/>
      <c r="F89" s="139"/>
      <c r="G89" s="139"/>
      <c r="H89" s="187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</row>
    <row r="90" ht="15.75" customHeight="1">
      <c r="A90" s="137"/>
      <c r="B90" s="139"/>
      <c r="C90" s="139"/>
      <c r="D90" s="139"/>
      <c r="E90" s="139"/>
      <c r="F90" s="139"/>
      <c r="G90" s="139"/>
      <c r="H90" s="187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</row>
    <row r="91" ht="15.75" customHeight="1">
      <c r="A91" s="137"/>
      <c r="B91" s="139"/>
      <c r="C91" s="139"/>
      <c r="D91" s="139"/>
      <c r="E91" s="139"/>
      <c r="F91" s="139"/>
      <c r="G91" s="139"/>
      <c r="H91" s="187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139"/>
    </row>
    <row r="92" ht="15.75" customHeight="1">
      <c r="A92" s="137"/>
      <c r="B92" s="139"/>
      <c r="C92" s="139"/>
      <c r="D92" s="139"/>
      <c r="E92" s="139"/>
      <c r="F92" s="139"/>
      <c r="G92" s="139"/>
      <c r="H92" s="187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</row>
    <row r="93" ht="15.75" customHeight="1">
      <c r="A93" s="137"/>
      <c r="B93" s="139"/>
      <c r="C93" s="139"/>
      <c r="D93" s="139"/>
      <c r="E93" s="139"/>
      <c r="F93" s="139"/>
      <c r="G93" s="139"/>
      <c r="H93" s="187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</row>
    <row r="94" ht="15.75" customHeight="1">
      <c r="A94" s="137"/>
      <c r="B94" s="139"/>
      <c r="C94" s="139"/>
      <c r="D94" s="139"/>
      <c r="E94" s="139"/>
      <c r="F94" s="139"/>
      <c r="G94" s="139"/>
      <c r="H94" s="187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</row>
    <row r="95" ht="15.75" customHeight="1">
      <c r="A95" s="137"/>
      <c r="B95" s="139"/>
      <c r="C95" s="139"/>
      <c r="D95" s="139"/>
      <c r="E95" s="139"/>
      <c r="F95" s="139"/>
      <c r="G95" s="139"/>
      <c r="H95" s="187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</row>
    <row r="96" ht="15.75" customHeight="1">
      <c r="A96" s="137"/>
      <c r="B96" s="139"/>
      <c r="C96" s="139"/>
      <c r="D96" s="139"/>
      <c r="E96" s="139"/>
      <c r="F96" s="139"/>
      <c r="G96" s="139"/>
      <c r="H96" s="187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</row>
    <row r="97" ht="15.75" customHeight="1">
      <c r="A97" s="137"/>
      <c r="B97" s="139"/>
      <c r="C97" s="139"/>
      <c r="D97" s="139"/>
      <c r="E97" s="139"/>
      <c r="F97" s="139"/>
      <c r="G97" s="139"/>
      <c r="H97" s="187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39"/>
      <c r="AC97" s="139"/>
      <c r="AD97" s="139"/>
      <c r="AE97" s="139"/>
    </row>
    <row r="98" ht="15.75" customHeight="1">
      <c r="A98" s="137"/>
      <c r="B98" s="139"/>
      <c r="C98" s="139"/>
      <c r="D98" s="139"/>
      <c r="E98" s="139"/>
      <c r="F98" s="139"/>
      <c r="G98" s="139"/>
      <c r="H98" s="187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</row>
    <row r="99" ht="15.75" customHeight="1">
      <c r="A99" s="137"/>
      <c r="B99" s="139"/>
      <c r="C99" s="139"/>
      <c r="D99" s="139"/>
      <c r="E99" s="139"/>
      <c r="F99" s="139"/>
      <c r="G99" s="139"/>
      <c r="H99" s="187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</row>
    <row r="100" ht="15.75" customHeight="1">
      <c r="A100" s="137"/>
      <c r="B100" s="139"/>
      <c r="C100" s="139"/>
      <c r="D100" s="139"/>
      <c r="E100" s="139"/>
      <c r="F100" s="139"/>
      <c r="G100" s="139"/>
      <c r="H100" s="187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9"/>
    </row>
    <row r="101" ht="15.75" customHeight="1">
      <c r="A101" s="137"/>
      <c r="B101" s="139"/>
      <c r="C101" s="139"/>
      <c r="D101" s="139"/>
      <c r="E101" s="139"/>
      <c r="F101" s="139"/>
      <c r="G101" s="139"/>
      <c r="H101" s="187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</row>
    <row r="102" ht="15.75" customHeight="1">
      <c r="A102" s="137"/>
      <c r="B102" s="139"/>
      <c r="C102" s="139"/>
      <c r="D102" s="139"/>
      <c r="E102" s="139"/>
      <c r="F102" s="139"/>
      <c r="G102" s="139"/>
      <c r="H102" s="187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</row>
    <row r="103" ht="15.75" customHeight="1">
      <c r="A103" s="137"/>
      <c r="B103" s="139"/>
      <c r="C103" s="139"/>
      <c r="D103" s="139"/>
      <c r="E103" s="139"/>
      <c r="F103" s="139"/>
      <c r="G103" s="139"/>
      <c r="H103" s="187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39"/>
      <c r="AB103" s="139"/>
      <c r="AC103" s="139"/>
      <c r="AD103" s="139"/>
      <c r="AE103" s="139"/>
    </row>
    <row r="104" ht="15.75" customHeight="1">
      <c r="A104" s="137"/>
      <c r="B104" s="139"/>
      <c r="C104" s="139"/>
      <c r="D104" s="139"/>
      <c r="E104" s="139"/>
      <c r="F104" s="139"/>
      <c r="G104" s="139"/>
      <c r="H104" s="187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</row>
    <row r="105" ht="15.75" customHeight="1">
      <c r="A105" s="137"/>
      <c r="B105" s="139"/>
      <c r="C105" s="139"/>
      <c r="D105" s="139"/>
      <c r="E105" s="139"/>
      <c r="F105" s="139"/>
      <c r="G105" s="139"/>
      <c r="H105" s="187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39"/>
      <c r="AB105" s="139"/>
      <c r="AC105" s="139"/>
      <c r="AD105" s="139"/>
      <c r="AE105" s="139"/>
    </row>
    <row r="106" ht="15.75" customHeight="1">
      <c r="A106" s="137"/>
      <c r="B106" s="139"/>
      <c r="C106" s="139"/>
      <c r="D106" s="139"/>
      <c r="E106" s="139"/>
      <c r="F106" s="139"/>
      <c r="G106" s="139"/>
      <c r="H106" s="187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</row>
    <row r="107" ht="15.75" customHeight="1">
      <c r="A107" s="137"/>
      <c r="B107" s="139"/>
      <c r="C107" s="139"/>
      <c r="D107" s="139"/>
      <c r="E107" s="139"/>
      <c r="F107" s="139"/>
      <c r="G107" s="139"/>
      <c r="H107" s="187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</row>
    <row r="108" ht="15.75" customHeight="1">
      <c r="A108" s="137"/>
      <c r="B108" s="139"/>
      <c r="C108" s="139"/>
      <c r="D108" s="139"/>
      <c r="E108" s="139"/>
      <c r="F108" s="139"/>
      <c r="G108" s="139"/>
      <c r="H108" s="187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9"/>
      <c r="AB108" s="139"/>
      <c r="AC108" s="139"/>
      <c r="AD108" s="139"/>
      <c r="AE108" s="139"/>
    </row>
    <row r="109" ht="15.75" customHeight="1">
      <c r="A109" s="137"/>
      <c r="B109" s="139"/>
      <c r="C109" s="139"/>
      <c r="D109" s="139"/>
      <c r="E109" s="139"/>
      <c r="F109" s="139"/>
      <c r="G109" s="139"/>
      <c r="H109" s="187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</row>
    <row r="110" ht="15.75" customHeight="1">
      <c r="A110" s="137"/>
      <c r="B110" s="139"/>
      <c r="C110" s="139"/>
      <c r="D110" s="139"/>
      <c r="E110" s="139"/>
      <c r="F110" s="139"/>
      <c r="G110" s="139"/>
      <c r="H110" s="187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</row>
    <row r="111" ht="15.75" customHeight="1">
      <c r="A111" s="137"/>
      <c r="B111" s="139"/>
      <c r="C111" s="139"/>
      <c r="D111" s="139"/>
      <c r="E111" s="139"/>
      <c r="F111" s="139"/>
      <c r="G111" s="139"/>
      <c r="H111" s="187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39"/>
      <c r="AB111" s="139"/>
      <c r="AC111" s="139"/>
      <c r="AD111" s="139"/>
      <c r="AE111" s="139"/>
    </row>
    <row r="112" ht="15.75" customHeight="1">
      <c r="A112" s="137"/>
      <c r="B112" s="139"/>
      <c r="C112" s="139"/>
      <c r="D112" s="139"/>
      <c r="E112" s="139"/>
      <c r="F112" s="139"/>
      <c r="G112" s="139"/>
      <c r="H112" s="187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</row>
    <row r="113" ht="15.75" customHeight="1">
      <c r="A113" s="137"/>
      <c r="B113" s="139"/>
      <c r="C113" s="139"/>
      <c r="D113" s="139"/>
      <c r="E113" s="139"/>
      <c r="F113" s="139"/>
      <c r="G113" s="139"/>
      <c r="H113" s="187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</row>
    <row r="114" ht="15.75" customHeight="1">
      <c r="A114" s="137"/>
      <c r="B114" s="139"/>
      <c r="C114" s="139"/>
      <c r="D114" s="139"/>
      <c r="E114" s="139"/>
      <c r="F114" s="139"/>
      <c r="G114" s="139"/>
      <c r="H114" s="187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</row>
    <row r="115" ht="15.75" customHeight="1">
      <c r="A115" s="137"/>
      <c r="B115" s="139"/>
      <c r="C115" s="139"/>
      <c r="D115" s="139"/>
      <c r="E115" s="139"/>
      <c r="F115" s="139"/>
      <c r="G115" s="139"/>
      <c r="H115" s="187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139"/>
      <c r="AD115" s="139"/>
      <c r="AE115" s="139"/>
    </row>
    <row r="116" ht="15.75" customHeight="1">
      <c r="A116" s="137"/>
      <c r="B116" s="139"/>
      <c r="C116" s="139"/>
      <c r="D116" s="139"/>
      <c r="E116" s="139"/>
      <c r="F116" s="139"/>
      <c r="G116" s="139"/>
      <c r="H116" s="187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9"/>
    </row>
    <row r="117" ht="15.75" customHeight="1">
      <c r="A117" s="137"/>
      <c r="B117" s="139"/>
      <c r="C117" s="139"/>
      <c r="D117" s="139"/>
      <c r="E117" s="139"/>
      <c r="F117" s="139"/>
      <c r="G117" s="139"/>
      <c r="H117" s="187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</row>
    <row r="118" ht="15.75" customHeight="1">
      <c r="A118" s="137"/>
      <c r="B118" s="139"/>
      <c r="C118" s="139"/>
      <c r="D118" s="139"/>
      <c r="E118" s="139"/>
      <c r="F118" s="139"/>
      <c r="G118" s="139"/>
      <c r="H118" s="187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</row>
    <row r="119" ht="15.75" customHeight="1">
      <c r="A119" s="137"/>
      <c r="B119" s="139"/>
      <c r="C119" s="139"/>
      <c r="D119" s="139"/>
      <c r="E119" s="139"/>
      <c r="F119" s="139"/>
      <c r="G119" s="139"/>
      <c r="H119" s="187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</row>
    <row r="120" ht="15.75" customHeight="1">
      <c r="A120" s="137"/>
      <c r="B120" s="139"/>
      <c r="C120" s="139"/>
      <c r="D120" s="139"/>
      <c r="E120" s="139"/>
      <c r="F120" s="139"/>
      <c r="G120" s="139"/>
      <c r="H120" s="187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</row>
    <row r="121" ht="15.75" customHeight="1">
      <c r="A121" s="137"/>
      <c r="B121" s="139"/>
      <c r="C121" s="139"/>
      <c r="D121" s="139"/>
      <c r="E121" s="139"/>
      <c r="F121" s="139"/>
      <c r="G121" s="139"/>
      <c r="H121" s="187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39"/>
      <c r="AB121" s="139"/>
      <c r="AC121" s="139"/>
      <c r="AD121" s="139"/>
      <c r="AE121" s="139"/>
    </row>
    <row r="122" ht="15.75" customHeight="1">
      <c r="A122" s="137"/>
      <c r="B122" s="139"/>
      <c r="C122" s="139"/>
      <c r="D122" s="139"/>
      <c r="E122" s="139"/>
      <c r="F122" s="139"/>
      <c r="G122" s="139"/>
      <c r="H122" s="187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</row>
    <row r="123" ht="15.75" customHeight="1">
      <c r="A123" s="137"/>
      <c r="B123" s="139"/>
      <c r="C123" s="139"/>
      <c r="D123" s="139"/>
      <c r="E123" s="139"/>
      <c r="F123" s="139"/>
      <c r="G123" s="139"/>
      <c r="H123" s="187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  <c r="AC123" s="139"/>
      <c r="AD123" s="139"/>
      <c r="AE123" s="139"/>
    </row>
    <row r="124" ht="15.75" customHeight="1">
      <c r="A124" s="137"/>
      <c r="B124" s="139"/>
      <c r="C124" s="139"/>
      <c r="D124" s="139"/>
      <c r="E124" s="139"/>
      <c r="F124" s="139"/>
      <c r="G124" s="139"/>
      <c r="H124" s="187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</row>
    <row r="125" ht="15.75" customHeight="1">
      <c r="A125" s="137"/>
      <c r="B125" s="139"/>
      <c r="C125" s="139"/>
      <c r="D125" s="139"/>
      <c r="E125" s="139"/>
      <c r="F125" s="139"/>
      <c r="G125" s="139"/>
      <c r="H125" s="187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39"/>
      <c r="AB125" s="139"/>
      <c r="AC125" s="139"/>
      <c r="AD125" s="139"/>
      <c r="AE125" s="139"/>
    </row>
    <row r="126" ht="15.75" customHeight="1">
      <c r="A126" s="137"/>
      <c r="B126" s="139"/>
      <c r="C126" s="139"/>
      <c r="D126" s="139"/>
      <c r="E126" s="139"/>
      <c r="F126" s="139"/>
      <c r="G126" s="139"/>
      <c r="H126" s="187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</row>
    <row r="127" ht="15.75" customHeight="1">
      <c r="A127" s="137"/>
      <c r="B127" s="139"/>
      <c r="C127" s="139"/>
      <c r="D127" s="139"/>
      <c r="E127" s="139"/>
      <c r="F127" s="139"/>
      <c r="G127" s="139"/>
      <c r="H127" s="187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</row>
    <row r="128" ht="15.75" customHeight="1">
      <c r="A128" s="137"/>
      <c r="B128" s="139"/>
      <c r="C128" s="139"/>
      <c r="D128" s="139"/>
      <c r="E128" s="139"/>
      <c r="F128" s="139"/>
      <c r="G128" s="139"/>
      <c r="H128" s="187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</row>
    <row r="129" ht="15.75" customHeight="1">
      <c r="A129" s="137"/>
      <c r="B129" s="139"/>
      <c r="C129" s="139"/>
      <c r="D129" s="139"/>
      <c r="E129" s="139"/>
      <c r="F129" s="139"/>
      <c r="G129" s="139"/>
      <c r="H129" s="187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  <c r="AB129" s="139"/>
      <c r="AC129" s="139"/>
      <c r="AD129" s="139"/>
      <c r="AE129" s="139"/>
    </row>
    <row r="130" ht="15.75" customHeight="1">
      <c r="A130" s="137"/>
      <c r="B130" s="139"/>
      <c r="C130" s="139"/>
      <c r="D130" s="139"/>
      <c r="E130" s="139"/>
      <c r="F130" s="139"/>
      <c r="G130" s="139"/>
      <c r="H130" s="187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</row>
    <row r="131" ht="15.75" customHeight="1">
      <c r="A131" s="137"/>
      <c r="B131" s="139"/>
      <c r="C131" s="139"/>
      <c r="D131" s="139"/>
      <c r="E131" s="139"/>
      <c r="F131" s="139"/>
      <c r="G131" s="139"/>
      <c r="H131" s="187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  <c r="AB131" s="139"/>
      <c r="AC131" s="139"/>
      <c r="AD131" s="139"/>
      <c r="AE131" s="139"/>
    </row>
    <row r="132" ht="15.75" customHeight="1">
      <c r="A132" s="137"/>
      <c r="B132" s="139"/>
      <c r="C132" s="139"/>
      <c r="D132" s="139"/>
      <c r="E132" s="139"/>
      <c r="F132" s="139"/>
      <c r="G132" s="139"/>
      <c r="H132" s="187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</row>
    <row r="133" ht="15.75" customHeight="1">
      <c r="A133" s="137"/>
      <c r="B133" s="139"/>
      <c r="C133" s="139"/>
      <c r="D133" s="139"/>
      <c r="E133" s="139"/>
      <c r="F133" s="139"/>
      <c r="G133" s="139"/>
      <c r="H133" s="187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</row>
    <row r="134" ht="15.75" customHeight="1">
      <c r="A134" s="137"/>
      <c r="B134" s="139"/>
      <c r="C134" s="139"/>
      <c r="D134" s="139"/>
      <c r="E134" s="139"/>
      <c r="F134" s="139"/>
      <c r="G134" s="139"/>
      <c r="H134" s="187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</row>
    <row r="135" ht="15.75" customHeight="1">
      <c r="A135" s="137"/>
      <c r="B135" s="139"/>
      <c r="C135" s="139"/>
      <c r="D135" s="139"/>
      <c r="E135" s="139"/>
      <c r="F135" s="139"/>
      <c r="G135" s="139"/>
      <c r="H135" s="187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</row>
    <row r="136" ht="15.75" customHeight="1">
      <c r="A136" s="137"/>
      <c r="B136" s="139"/>
      <c r="C136" s="139"/>
      <c r="D136" s="139"/>
      <c r="E136" s="139"/>
      <c r="F136" s="139"/>
      <c r="G136" s="139"/>
      <c r="H136" s="187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</row>
    <row r="137" ht="15.75" customHeight="1">
      <c r="A137" s="137"/>
      <c r="B137" s="139"/>
      <c r="C137" s="139"/>
      <c r="D137" s="139"/>
      <c r="E137" s="139"/>
      <c r="F137" s="139"/>
      <c r="G137" s="139"/>
      <c r="H137" s="187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</row>
    <row r="138" ht="15.75" customHeight="1">
      <c r="A138" s="137"/>
      <c r="B138" s="139"/>
      <c r="C138" s="139"/>
      <c r="D138" s="139"/>
      <c r="E138" s="139"/>
      <c r="F138" s="139"/>
      <c r="G138" s="139"/>
      <c r="H138" s="187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</row>
    <row r="139" ht="15.75" customHeight="1">
      <c r="A139" s="137"/>
      <c r="B139" s="139"/>
      <c r="C139" s="139"/>
      <c r="D139" s="139"/>
      <c r="E139" s="139"/>
      <c r="F139" s="139"/>
      <c r="G139" s="139"/>
      <c r="H139" s="187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  <c r="AB139" s="139"/>
      <c r="AC139" s="139"/>
      <c r="AD139" s="139"/>
      <c r="AE139" s="139"/>
    </row>
    <row r="140" ht="15.75" customHeight="1">
      <c r="A140" s="137"/>
      <c r="B140" s="139"/>
      <c r="C140" s="139"/>
      <c r="D140" s="139"/>
      <c r="E140" s="139"/>
      <c r="F140" s="139"/>
      <c r="G140" s="139"/>
      <c r="H140" s="187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</row>
    <row r="141" ht="15.75" customHeight="1">
      <c r="A141" s="137"/>
      <c r="B141" s="139"/>
      <c r="C141" s="139"/>
      <c r="D141" s="139"/>
      <c r="E141" s="139"/>
      <c r="F141" s="139"/>
      <c r="G141" s="139"/>
      <c r="H141" s="187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</row>
    <row r="142" ht="15.75" customHeight="1">
      <c r="A142" s="137"/>
      <c r="B142" s="139"/>
      <c r="C142" s="139"/>
      <c r="D142" s="139"/>
      <c r="E142" s="139"/>
      <c r="F142" s="139"/>
      <c r="G142" s="139"/>
      <c r="H142" s="187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</row>
    <row r="143" ht="15.75" customHeight="1">
      <c r="A143" s="137"/>
      <c r="B143" s="139"/>
      <c r="C143" s="139"/>
      <c r="D143" s="139"/>
      <c r="E143" s="139"/>
      <c r="F143" s="139"/>
      <c r="G143" s="139"/>
      <c r="H143" s="187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</row>
    <row r="144" ht="15.75" customHeight="1">
      <c r="A144" s="137"/>
      <c r="B144" s="139"/>
      <c r="C144" s="139"/>
      <c r="D144" s="139"/>
      <c r="E144" s="139"/>
      <c r="F144" s="139"/>
      <c r="G144" s="139"/>
      <c r="H144" s="187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</row>
    <row r="145" ht="15.75" customHeight="1">
      <c r="A145" s="137"/>
      <c r="B145" s="139"/>
      <c r="C145" s="139"/>
      <c r="D145" s="139"/>
      <c r="E145" s="139"/>
      <c r="F145" s="139"/>
      <c r="G145" s="139"/>
      <c r="H145" s="187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</row>
    <row r="146" ht="15.75" customHeight="1">
      <c r="A146" s="137"/>
      <c r="B146" s="139"/>
      <c r="C146" s="139"/>
      <c r="D146" s="139"/>
      <c r="E146" s="139"/>
      <c r="F146" s="139"/>
      <c r="G146" s="139"/>
      <c r="H146" s="187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</row>
    <row r="147" ht="15.75" customHeight="1">
      <c r="A147" s="137"/>
      <c r="B147" s="139"/>
      <c r="C147" s="139"/>
      <c r="D147" s="139"/>
      <c r="E147" s="139"/>
      <c r="F147" s="139"/>
      <c r="G147" s="139"/>
      <c r="H147" s="187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</row>
    <row r="148" ht="15.75" customHeight="1">
      <c r="A148" s="137"/>
      <c r="B148" s="139"/>
      <c r="C148" s="139"/>
      <c r="D148" s="139"/>
      <c r="E148" s="139"/>
      <c r="F148" s="139"/>
      <c r="G148" s="139"/>
      <c r="H148" s="187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</row>
    <row r="149" ht="15.75" customHeight="1">
      <c r="A149" s="137"/>
      <c r="B149" s="139"/>
      <c r="C149" s="139"/>
      <c r="D149" s="139"/>
      <c r="E149" s="139"/>
      <c r="F149" s="139"/>
      <c r="G149" s="139"/>
      <c r="H149" s="187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  <c r="AB149" s="139"/>
      <c r="AC149" s="139"/>
      <c r="AD149" s="139"/>
      <c r="AE149" s="139"/>
    </row>
    <row r="150" ht="15.75" customHeight="1">
      <c r="A150" s="137"/>
      <c r="B150" s="139"/>
      <c r="C150" s="139"/>
      <c r="D150" s="139"/>
      <c r="E150" s="139"/>
      <c r="F150" s="139"/>
      <c r="G150" s="139"/>
      <c r="H150" s="187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</row>
    <row r="151" ht="15.75" customHeight="1">
      <c r="A151" s="137"/>
      <c r="B151" s="139"/>
      <c r="C151" s="139"/>
      <c r="D151" s="139"/>
      <c r="E151" s="139"/>
      <c r="F151" s="139"/>
      <c r="G151" s="139"/>
      <c r="H151" s="187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</row>
    <row r="152" ht="15.75" customHeight="1">
      <c r="A152" s="137"/>
      <c r="B152" s="139"/>
      <c r="C152" s="139"/>
      <c r="D152" s="139"/>
      <c r="E152" s="139"/>
      <c r="F152" s="139"/>
      <c r="G152" s="139"/>
      <c r="H152" s="187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</row>
    <row r="153" ht="15.75" customHeight="1">
      <c r="A153" s="137"/>
      <c r="B153" s="139"/>
      <c r="C153" s="139"/>
      <c r="D153" s="139"/>
      <c r="E153" s="139"/>
      <c r="F153" s="139"/>
      <c r="G153" s="139"/>
      <c r="H153" s="187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  <c r="AC153" s="139"/>
      <c r="AD153" s="139"/>
      <c r="AE153" s="139"/>
    </row>
    <row r="154" ht="15.75" customHeight="1">
      <c r="A154" s="137"/>
      <c r="B154" s="139"/>
      <c r="C154" s="139"/>
      <c r="D154" s="139"/>
      <c r="E154" s="139"/>
      <c r="F154" s="139"/>
      <c r="G154" s="139"/>
      <c r="H154" s="187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</row>
    <row r="155" ht="15.75" customHeight="1">
      <c r="A155" s="137"/>
      <c r="B155" s="139"/>
      <c r="C155" s="139"/>
      <c r="D155" s="139"/>
      <c r="E155" s="139"/>
      <c r="F155" s="139"/>
      <c r="G155" s="139"/>
      <c r="H155" s="187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</row>
    <row r="156" ht="15.75" customHeight="1">
      <c r="A156" s="137"/>
      <c r="B156" s="139"/>
      <c r="C156" s="139"/>
      <c r="D156" s="139"/>
      <c r="E156" s="139"/>
      <c r="F156" s="139"/>
      <c r="G156" s="139"/>
      <c r="H156" s="187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</row>
    <row r="157" ht="15.75" customHeight="1">
      <c r="A157" s="137"/>
      <c r="B157" s="139"/>
      <c r="C157" s="139"/>
      <c r="D157" s="139"/>
      <c r="E157" s="139"/>
      <c r="F157" s="139"/>
      <c r="G157" s="139"/>
      <c r="H157" s="187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</row>
    <row r="158" ht="15.75" customHeight="1">
      <c r="A158" s="137"/>
      <c r="B158" s="139"/>
      <c r="C158" s="139"/>
      <c r="D158" s="139"/>
      <c r="E158" s="139"/>
      <c r="F158" s="139"/>
      <c r="G158" s="139"/>
      <c r="H158" s="187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</row>
    <row r="159" ht="15.75" customHeight="1">
      <c r="A159" s="137"/>
      <c r="B159" s="139"/>
      <c r="C159" s="139"/>
      <c r="D159" s="139"/>
      <c r="E159" s="139"/>
      <c r="F159" s="139"/>
      <c r="G159" s="139"/>
      <c r="H159" s="187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</row>
    <row r="160" ht="15.75" customHeight="1">
      <c r="A160" s="137"/>
      <c r="B160" s="139"/>
      <c r="C160" s="139"/>
      <c r="D160" s="139"/>
      <c r="E160" s="139"/>
      <c r="F160" s="139"/>
      <c r="G160" s="139"/>
      <c r="H160" s="187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</row>
    <row r="161" ht="15.75" customHeight="1">
      <c r="A161" s="137"/>
      <c r="B161" s="139"/>
      <c r="C161" s="139"/>
      <c r="D161" s="139"/>
      <c r="E161" s="139"/>
      <c r="F161" s="139"/>
      <c r="G161" s="139"/>
      <c r="H161" s="187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</row>
    <row r="162" ht="15.75" customHeight="1">
      <c r="A162" s="137"/>
      <c r="B162" s="139"/>
      <c r="C162" s="139"/>
      <c r="D162" s="139"/>
      <c r="E162" s="139"/>
      <c r="F162" s="139"/>
      <c r="G162" s="139"/>
      <c r="H162" s="187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</row>
    <row r="163" ht="15.75" customHeight="1">
      <c r="A163" s="137"/>
      <c r="B163" s="139"/>
      <c r="C163" s="139"/>
      <c r="D163" s="139"/>
      <c r="E163" s="139"/>
      <c r="F163" s="139"/>
      <c r="G163" s="139"/>
      <c r="H163" s="187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  <c r="AB163" s="139"/>
      <c r="AC163" s="139"/>
      <c r="AD163" s="139"/>
      <c r="AE163" s="139"/>
    </row>
    <row r="164" ht="15.75" customHeight="1">
      <c r="A164" s="137"/>
      <c r="B164" s="139"/>
      <c r="C164" s="139"/>
      <c r="D164" s="139"/>
      <c r="E164" s="139"/>
      <c r="F164" s="139"/>
      <c r="G164" s="139"/>
      <c r="H164" s="187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</row>
    <row r="165" ht="15.75" customHeight="1">
      <c r="A165" s="137"/>
      <c r="B165" s="139"/>
      <c r="C165" s="139"/>
      <c r="D165" s="139"/>
      <c r="E165" s="139"/>
      <c r="F165" s="139"/>
      <c r="G165" s="139"/>
      <c r="H165" s="187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</row>
    <row r="166" ht="15.75" customHeight="1">
      <c r="A166" s="137"/>
      <c r="B166" s="139"/>
      <c r="C166" s="139"/>
      <c r="D166" s="139"/>
      <c r="E166" s="139"/>
      <c r="F166" s="139"/>
      <c r="G166" s="139"/>
      <c r="H166" s="187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</row>
    <row r="167" ht="15.75" customHeight="1">
      <c r="A167" s="137"/>
      <c r="B167" s="139"/>
      <c r="C167" s="139"/>
      <c r="D167" s="139"/>
      <c r="E167" s="139"/>
      <c r="F167" s="139"/>
      <c r="G167" s="139"/>
      <c r="H167" s="187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</row>
    <row r="168" ht="15.75" customHeight="1">
      <c r="A168" s="137"/>
      <c r="B168" s="139"/>
      <c r="C168" s="139"/>
      <c r="D168" s="139"/>
      <c r="E168" s="139"/>
      <c r="F168" s="139"/>
      <c r="G168" s="139"/>
      <c r="H168" s="187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  <c r="AB168" s="139"/>
      <c r="AC168" s="139"/>
      <c r="AD168" s="139"/>
      <c r="AE168" s="139"/>
    </row>
    <row r="169" ht="15.75" customHeight="1">
      <c r="A169" s="137"/>
      <c r="B169" s="139"/>
      <c r="C169" s="139"/>
      <c r="D169" s="139"/>
      <c r="E169" s="139"/>
      <c r="F169" s="139"/>
      <c r="G169" s="139"/>
      <c r="H169" s="187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</row>
    <row r="170" ht="15.75" customHeight="1">
      <c r="A170" s="137"/>
      <c r="B170" s="139"/>
      <c r="C170" s="139"/>
      <c r="D170" s="139"/>
      <c r="E170" s="139"/>
      <c r="F170" s="139"/>
      <c r="G170" s="139"/>
      <c r="H170" s="187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</row>
    <row r="171" ht="15.75" customHeight="1">
      <c r="A171" s="137"/>
      <c r="B171" s="139"/>
      <c r="C171" s="139"/>
      <c r="D171" s="139"/>
      <c r="E171" s="139"/>
      <c r="F171" s="139"/>
      <c r="G171" s="139"/>
      <c r="H171" s="187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  <c r="AD171" s="139"/>
      <c r="AE171" s="139"/>
    </row>
    <row r="172" ht="15.75" customHeight="1">
      <c r="A172" s="137"/>
      <c r="B172" s="139"/>
      <c r="C172" s="139"/>
      <c r="D172" s="139"/>
      <c r="E172" s="139"/>
      <c r="F172" s="139"/>
      <c r="G172" s="139"/>
      <c r="H172" s="187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</row>
    <row r="173" ht="15.75" customHeight="1">
      <c r="A173" s="137"/>
      <c r="B173" s="139"/>
      <c r="C173" s="139"/>
      <c r="D173" s="139"/>
      <c r="E173" s="139"/>
      <c r="F173" s="139"/>
      <c r="G173" s="139"/>
      <c r="H173" s="187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</row>
    <row r="174" ht="15.75" customHeight="1">
      <c r="A174" s="137"/>
      <c r="B174" s="139"/>
      <c r="C174" s="139"/>
      <c r="D174" s="139"/>
      <c r="E174" s="139"/>
      <c r="F174" s="139"/>
      <c r="G174" s="139"/>
      <c r="H174" s="187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</row>
    <row r="175" ht="15.75" customHeight="1">
      <c r="A175" s="137"/>
      <c r="B175" s="139"/>
      <c r="C175" s="139"/>
      <c r="D175" s="139"/>
      <c r="E175" s="139"/>
      <c r="F175" s="139"/>
      <c r="G175" s="139"/>
      <c r="H175" s="187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</row>
    <row r="176" ht="15.75" customHeight="1">
      <c r="A176" s="137"/>
      <c r="B176" s="139"/>
      <c r="C176" s="139"/>
      <c r="D176" s="139"/>
      <c r="E176" s="139"/>
      <c r="F176" s="139"/>
      <c r="G176" s="139"/>
      <c r="H176" s="187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</row>
    <row r="177" ht="15.75" customHeight="1">
      <c r="A177" s="137"/>
      <c r="B177" s="139"/>
      <c r="C177" s="139"/>
      <c r="D177" s="139"/>
      <c r="E177" s="139"/>
      <c r="F177" s="139"/>
      <c r="G177" s="139"/>
      <c r="H177" s="187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</row>
    <row r="178" ht="15.75" customHeight="1">
      <c r="A178" s="137"/>
      <c r="B178" s="139"/>
      <c r="C178" s="139"/>
      <c r="D178" s="139"/>
      <c r="E178" s="139"/>
      <c r="F178" s="139"/>
      <c r="G178" s="139"/>
      <c r="H178" s="187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</row>
    <row r="179" ht="15.75" customHeight="1">
      <c r="A179" s="137"/>
      <c r="B179" s="139"/>
      <c r="C179" s="139"/>
      <c r="D179" s="139"/>
      <c r="E179" s="139"/>
      <c r="F179" s="139"/>
      <c r="G179" s="139"/>
      <c r="H179" s="187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  <c r="AA179" s="139"/>
      <c r="AB179" s="139"/>
      <c r="AC179" s="139"/>
      <c r="AD179" s="139"/>
      <c r="AE179" s="139"/>
    </row>
    <row r="180" ht="15.75" customHeight="1">
      <c r="A180" s="137"/>
      <c r="B180" s="139"/>
      <c r="C180" s="139"/>
      <c r="D180" s="139"/>
      <c r="E180" s="139"/>
      <c r="F180" s="139"/>
      <c r="G180" s="139"/>
      <c r="H180" s="187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  <c r="AB180" s="139"/>
      <c r="AC180" s="139"/>
      <c r="AD180" s="139"/>
      <c r="AE180" s="139"/>
    </row>
    <row r="181" ht="15.75" customHeight="1">
      <c r="A181" s="137"/>
      <c r="B181" s="139"/>
      <c r="C181" s="139"/>
      <c r="D181" s="139"/>
      <c r="E181" s="139"/>
      <c r="F181" s="139"/>
      <c r="G181" s="139"/>
      <c r="H181" s="187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</row>
    <row r="182" ht="15.75" customHeight="1">
      <c r="A182" s="137"/>
      <c r="B182" s="139"/>
      <c r="C182" s="139"/>
      <c r="D182" s="139"/>
      <c r="E182" s="139"/>
      <c r="F182" s="139"/>
      <c r="G182" s="139"/>
      <c r="H182" s="187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  <c r="AB182" s="139"/>
      <c r="AC182" s="139"/>
      <c r="AD182" s="139"/>
      <c r="AE182" s="139"/>
    </row>
    <row r="183" ht="15.75" customHeight="1">
      <c r="A183" s="137"/>
      <c r="B183" s="139"/>
      <c r="C183" s="139"/>
      <c r="D183" s="139"/>
      <c r="E183" s="139"/>
      <c r="F183" s="139"/>
      <c r="G183" s="139"/>
      <c r="H183" s="187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  <c r="AB183" s="139"/>
      <c r="AC183" s="139"/>
      <c r="AD183" s="139"/>
      <c r="AE183" s="139"/>
    </row>
    <row r="184" ht="15.75" customHeight="1">
      <c r="A184" s="137"/>
      <c r="B184" s="139"/>
      <c r="C184" s="139"/>
      <c r="D184" s="139"/>
      <c r="E184" s="139"/>
      <c r="F184" s="139"/>
      <c r="G184" s="139"/>
      <c r="H184" s="187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</row>
    <row r="185" ht="15.75" customHeight="1">
      <c r="A185" s="137"/>
      <c r="B185" s="139"/>
      <c r="C185" s="139"/>
      <c r="D185" s="139"/>
      <c r="E185" s="139"/>
      <c r="F185" s="139"/>
      <c r="G185" s="139"/>
      <c r="H185" s="187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</row>
    <row r="186" ht="15.75" customHeight="1">
      <c r="A186" s="137"/>
      <c r="B186" s="139"/>
      <c r="C186" s="139"/>
      <c r="D186" s="139"/>
      <c r="E186" s="139"/>
      <c r="F186" s="139"/>
      <c r="G186" s="139"/>
      <c r="H186" s="187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  <c r="AA186" s="139"/>
      <c r="AB186" s="139"/>
      <c r="AC186" s="139"/>
      <c r="AD186" s="139"/>
      <c r="AE186" s="139"/>
    </row>
    <row r="187" ht="15.75" customHeight="1">
      <c r="A187" s="137"/>
      <c r="B187" s="139"/>
      <c r="C187" s="139"/>
      <c r="D187" s="139"/>
      <c r="E187" s="139"/>
      <c r="F187" s="139"/>
      <c r="G187" s="139"/>
      <c r="H187" s="187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</row>
    <row r="188" ht="15.75" customHeight="1">
      <c r="A188" s="137"/>
      <c r="B188" s="139"/>
      <c r="C188" s="139"/>
      <c r="D188" s="139"/>
      <c r="E188" s="139"/>
      <c r="F188" s="139"/>
      <c r="G188" s="139"/>
      <c r="H188" s="187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  <c r="AB188" s="139"/>
      <c r="AC188" s="139"/>
      <c r="AD188" s="139"/>
      <c r="AE188" s="139"/>
    </row>
    <row r="189" ht="15.75" customHeight="1">
      <c r="A189" s="137"/>
      <c r="B189" s="139"/>
      <c r="C189" s="139"/>
      <c r="D189" s="139"/>
      <c r="E189" s="139"/>
      <c r="F189" s="139"/>
      <c r="G189" s="139"/>
      <c r="H189" s="187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</row>
    <row r="190" ht="15.75" customHeight="1">
      <c r="A190" s="137"/>
      <c r="B190" s="139"/>
      <c r="C190" s="139"/>
      <c r="D190" s="139"/>
      <c r="E190" s="139"/>
      <c r="F190" s="139"/>
      <c r="G190" s="139"/>
      <c r="H190" s="187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</row>
    <row r="191" ht="15.75" customHeight="1">
      <c r="A191" s="137"/>
      <c r="B191" s="139"/>
      <c r="C191" s="139"/>
      <c r="D191" s="139"/>
      <c r="E191" s="139"/>
      <c r="F191" s="139"/>
      <c r="G191" s="139"/>
      <c r="H191" s="187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</row>
    <row r="192" ht="15.75" customHeight="1">
      <c r="A192" s="137"/>
      <c r="B192" s="139"/>
      <c r="C192" s="139"/>
      <c r="D192" s="139"/>
      <c r="E192" s="139"/>
      <c r="F192" s="139"/>
      <c r="G192" s="139"/>
      <c r="H192" s="187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</row>
    <row r="193" ht="15.75" customHeight="1">
      <c r="A193" s="137"/>
      <c r="B193" s="139"/>
      <c r="C193" s="139"/>
      <c r="D193" s="139"/>
      <c r="E193" s="139"/>
      <c r="F193" s="139"/>
      <c r="G193" s="139"/>
      <c r="H193" s="187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  <c r="AB193" s="139"/>
      <c r="AC193" s="139"/>
      <c r="AD193" s="139"/>
      <c r="AE193" s="139"/>
    </row>
    <row r="194" ht="15.75" customHeight="1">
      <c r="A194" s="137"/>
      <c r="B194" s="139"/>
      <c r="C194" s="139"/>
      <c r="D194" s="139"/>
      <c r="E194" s="139"/>
      <c r="F194" s="139"/>
      <c r="G194" s="139"/>
      <c r="H194" s="187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</row>
    <row r="195" ht="15.75" customHeight="1">
      <c r="A195" s="137"/>
      <c r="B195" s="139"/>
      <c r="C195" s="139"/>
      <c r="D195" s="139"/>
      <c r="E195" s="139"/>
      <c r="F195" s="139"/>
      <c r="G195" s="139"/>
      <c r="H195" s="187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</row>
    <row r="196" ht="15.75" customHeight="1">
      <c r="A196" s="137"/>
      <c r="B196" s="139"/>
      <c r="C196" s="139"/>
      <c r="D196" s="139"/>
      <c r="E196" s="139"/>
      <c r="F196" s="139"/>
      <c r="G196" s="139"/>
      <c r="H196" s="187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</row>
    <row r="197" ht="15.75" customHeight="1">
      <c r="A197" s="137"/>
      <c r="B197" s="139"/>
      <c r="C197" s="139"/>
      <c r="D197" s="139"/>
      <c r="E197" s="139"/>
      <c r="F197" s="139"/>
      <c r="G197" s="139"/>
      <c r="H197" s="187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</row>
    <row r="198" ht="15.75" customHeight="1">
      <c r="A198" s="137"/>
      <c r="B198" s="139"/>
      <c r="C198" s="139"/>
      <c r="D198" s="139"/>
      <c r="E198" s="139"/>
      <c r="F198" s="139"/>
      <c r="G198" s="139"/>
      <c r="H198" s="187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</row>
    <row r="199" ht="15.75" customHeight="1">
      <c r="A199" s="137"/>
      <c r="B199" s="139"/>
      <c r="C199" s="139"/>
      <c r="D199" s="139"/>
      <c r="E199" s="139"/>
      <c r="F199" s="139"/>
      <c r="G199" s="139"/>
      <c r="H199" s="187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</row>
    <row r="200" ht="15.75" customHeight="1">
      <c r="A200" s="137"/>
      <c r="B200" s="139"/>
      <c r="C200" s="139"/>
      <c r="D200" s="139"/>
      <c r="E200" s="139"/>
      <c r="F200" s="139"/>
      <c r="G200" s="139"/>
      <c r="H200" s="187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  <c r="AB200" s="139"/>
      <c r="AC200" s="139"/>
      <c r="AD200" s="139"/>
      <c r="AE200" s="139"/>
    </row>
    <row r="201" ht="15.75" customHeight="1">
      <c r="A201" s="137"/>
      <c r="B201" s="139"/>
      <c r="C201" s="139"/>
      <c r="D201" s="139"/>
      <c r="E201" s="139"/>
      <c r="F201" s="139"/>
      <c r="G201" s="139"/>
      <c r="H201" s="187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  <c r="AD201" s="139"/>
      <c r="AE201" s="139"/>
    </row>
    <row r="202" ht="15.75" customHeight="1">
      <c r="A202" s="137"/>
      <c r="B202" s="139"/>
      <c r="C202" s="139"/>
      <c r="D202" s="139"/>
      <c r="E202" s="139"/>
      <c r="F202" s="139"/>
      <c r="G202" s="139"/>
      <c r="H202" s="187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</row>
    <row r="203" ht="15.75" customHeight="1">
      <c r="A203" s="137"/>
      <c r="B203" s="139"/>
      <c r="C203" s="139"/>
      <c r="D203" s="139"/>
      <c r="E203" s="139"/>
      <c r="F203" s="139"/>
      <c r="G203" s="139"/>
      <c r="H203" s="187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</row>
    <row r="204" ht="15.75" customHeight="1">
      <c r="A204" s="137"/>
      <c r="B204" s="139"/>
      <c r="C204" s="139"/>
      <c r="D204" s="139"/>
      <c r="E204" s="139"/>
      <c r="F204" s="139"/>
      <c r="G204" s="139"/>
      <c r="H204" s="187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</row>
    <row r="205" ht="15.75" customHeight="1">
      <c r="A205" s="137"/>
      <c r="B205" s="139"/>
      <c r="C205" s="139"/>
      <c r="D205" s="139"/>
      <c r="E205" s="139"/>
      <c r="F205" s="139"/>
      <c r="G205" s="139"/>
      <c r="H205" s="187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</row>
    <row r="206" ht="15.75" customHeight="1">
      <c r="A206" s="137"/>
      <c r="B206" s="139"/>
      <c r="C206" s="139"/>
      <c r="D206" s="139"/>
      <c r="E206" s="139"/>
      <c r="F206" s="139"/>
      <c r="G206" s="139"/>
      <c r="H206" s="187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</row>
    <row r="207" ht="15.75" customHeight="1">
      <c r="A207" s="137"/>
      <c r="B207" s="139"/>
      <c r="C207" s="139"/>
      <c r="D207" s="139"/>
      <c r="E207" s="139"/>
      <c r="F207" s="139"/>
      <c r="G207" s="139"/>
      <c r="H207" s="187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9"/>
    </row>
    <row r="208" ht="15.75" customHeight="1">
      <c r="A208" s="137"/>
      <c r="B208" s="139"/>
      <c r="C208" s="139"/>
      <c r="D208" s="139"/>
      <c r="E208" s="139"/>
      <c r="F208" s="139"/>
      <c r="G208" s="139"/>
      <c r="H208" s="187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9"/>
    </row>
    <row r="209" ht="15.75" customHeight="1">
      <c r="A209" s="137"/>
      <c r="B209" s="139"/>
      <c r="C209" s="139"/>
      <c r="D209" s="139"/>
      <c r="E209" s="139"/>
      <c r="F209" s="139"/>
      <c r="G209" s="139"/>
      <c r="H209" s="187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9"/>
    </row>
    <row r="210" ht="15.75" customHeight="1">
      <c r="A210" s="137"/>
      <c r="B210" s="139"/>
      <c r="C210" s="139"/>
      <c r="D210" s="139"/>
      <c r="E210" s="139"/>
      <c r="F210" s="139"/>
      <c r="G210" s="139"/>
      <c r="H210" s="187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/>
      <c r="AE210" s="139"/>
    </row>
    <row r="211" ht="15.75" customHeight="1">
      <c r="A211" s="137"/>
      <c r="B211" s="139"/>
      <c r="C211" s="139"/>
      <c r="D211" s="139"/>
      <c r="E211" s="139"/>
      <c r="F211" s="139"/>
      <c r="G211" s="139"/>
      <c r="H211" s="187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39"/>
      <c r="AD211" s="139"/>
      <c r="AE211" s="139"/>
    </row>
    <row r="212" ht="15.75" customHeight="1">
      <c r="A212" s="137"/>
      <c r="B212" s="139"/>
      <c r="C212" s="139"/>
      <c r="D212" s="139"/>
      <c r="E212" s="139"/>
      <c r="F212" s="139"/>
      <c r="G212" s="139"/>
      <c r="H212" s="187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  <c r="AE212" s="139"/>
    </row>
    <row r="213" ht="15.75" customHeight="1">
      <c r="A213" s="137"/>
      <c r="B213" s="139"/>
      <c r="C213" s="139"/>
      <c r="D213" s="139"/>
      <c r="E213" s="139"/>
      <c r="F213" s="139"/>
      <c r="G213" s="139"/>
      <c r="H213" s="187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</row>
    <row r="214" ht="15.75" customHeight="1">
      <c r="A214" s="137"/>
      <c r="B214" s="139"/>
      <c r="C214" s="139"/>
      <c r="D214" s="139"/>
      <c r="E214" s="139"/>
      <c r="F214" s="139"/>
      <c r="G214" s="139"/>
      <c r="H214" s="187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39"/>
      <c r="AD214" s="139"/>
      <c r="AE214" s="139"/>
    </row>
    <row r="215" ht="15.75" customHeight="1">
      <c r="A215" s="137"/>
      <c r="B215" s="139"/>
      <c r="C215" s="139"/>
      <c r="D215" s="139"/>
      <c r="E215" s="139"/>
      <c r="F215" s="139"/>
      <c r="G215" s="139"/>
      <c r="H215" s="187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</row>
    <row r="216" ht="15.75" customHeight="1">
      <c r="A216" s="137"/>
      <c r="B216" s="139"/>
      <c r="C216" s="139"/>
      <c r="D216" s="139"/>
      <c r="E216" s="139"/>
      <c r="F216" s="139"/>
      <c r="G216" s="139"/>
      <c r="H216" s="187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  <c r="AE216" s="139"/>
    </row>
    <row r="217" ht="15.75" customHeight="1">
      <c r="A217" s="137"/>
      <c r="B217" s="139"/>
      <c r="C217" s="139"/>
      <c r="D217" s="139"/>
      <c r="E217" s="139"/>
      <c r="F217" s="139"/>
      <c r="G217" s="139"/>
      <c r="H217" s="187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  <c r="AE217" s="139"/>
    </row>
    <row r="218" ht="15.75" customHeight="1">
      <c r="A218" s="137"/>
      <c r="B218" s="139"/>
      <c r="C218" s="139"/>
      <c r="D218" s="139"/>
      <c r="E218" s="139"/>
      <c r="F218" s="139"/>
      <c r="G218" s="139"/>
      <c r="H218" s="187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  <c r="AE218" s="139"/>
    </row>
    <row r="219" ht="15.75" customHeight="1">
      <c r="A219" s="137"/>
      <c r="B219" s="139"/>
      <c r="C219" s="139"/>
      <c r="D219" s="139"/>
      <c r="E219" s="139"/>
      <c r="F219" s="139"/>
      <c r="G219" s="139"/>
      <c r="H219" s="187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  <c r="AE219" s="139"/>
    </row>
    <row r="220" ht="15.75" customHeight="1">
      <c r="A220" s="137"/>
      <c r="B220" s="139"/>
      <c r="C220" s="139"/>
      <c r="D220" s="139"/>
      <c r="E220" s="139"/>
      <c r="F220" s="139"/>
      <c r="G220" s="139"/>
      <c r="H220" s="187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  <c r="AC220" s="139"/>
      <c r="AD220" s="139"/>
      <c r="AE220" s="139"/>
    </row>
    <row r="221" ht="15.75" customHeight="1">
      <c r="A221" s="137"/>
      <c r="B221" s="139"/>
      <c r="C221" s="139"/>
      <c r="D221" s="139"/>
      <c r="E221" s="139"/>
      <c r="F221" s="139"/>
      <c r="G221" s="139"/>
      <c r="H221" s="187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</row>
    <row r="222" ht="15.75" customHeight="1">
      <c r="A222" s="137"/>
      <c r="B222" s="139"/>
      <c r="C222" s="139"/>
      <c r="D222" s="139"/>
      <c r="E222" s="139"/>
      <c r="F222" s="139"/>
      <c r="G222" s="139"/>
      <c r="H222" s="187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</row>
    <row r="223" ht="15.75" customHeight="1">
      <c r="A223" s="137"/>
      <c r="B223" s="139"/>
      <c r="C223" s="139"/>
      <c r="D223" s="139"/>
      <c r="E223" s="139"/>
      <c r="F223" s="139"/>
      <c r="G223" s="139"/>
      <c r="H223" s="187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  <c r="AE223" s="139"/>
    </row>
    <row r="224" ht="15.75" customHeight="1">
      <c r="A224" s="137"/>
      <c r="B224" s="139"/>
      <c r="C224" s="139"/>
      <c r="D224" s="139"/>
      <c r="E224" s="139"/>
      <c r="F224" s="139"/>
      <c r="G224" s="139"/>
      <c r="H224" s="187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</row>
    <row r="225" ht="15.75" customHeight="1">
      <c r="A225" s="137"/>
      <c r="B225" s="139"/>
      <c r="C225" s="139"/>
      <c r="D225" s="139"/>
      <c r="E225" s="139"/>
      <c r="F225" s="139"/>
      <c r="G225" s="139"/>
      <c r="H225" s="187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</row>
    <row r="226" ht="15.75" customHeight="1">
      <c r="A226" s="137"/>
      <c r="B226" s="139"/>
      <c r="C226" s="139"/>
      <c r="D226" s="139"/>
      <c r="E226" s="139"/>
      <c r="F226" s="139"/>
      <c r="G226" s="139"/>
      <c r="H226" s="187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</row>
    <row r="227" ht="15.75" customHeight="1">
      <c r="A227" s="137"/>
      <c r="B227" s="139"/>
      <c r="C227" s="139"/>
      <c r="D227" s="139"/>
      <c r="E227" s="139"/>
      <c r="F227" s="139"/>
      <c r="G227" s="139"/>
      <c r="H227" s="187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</row>
    <row r="228" ht="15.75" customHeight="1">
      <c r="A228" s="137"/>
      <c r="B228" s="139"/>
      <c r="C228" s="139"/>
      <c r="D228" s="139"/>
      <c r="E228" s="139"/>
      <c r="F228" s="139"/>
      <c r="G228" s="139"/>
      <c r="H228" s="187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</row>
    <row r="229" ht="15.75" customHeight="1">
      <c r="A229" s="137"/>
      <c r="B229" s="139"/>
      <c r="C229" s="139"/>
      <c r="D229" s="139"/>
      <c r="E229" s="139"/>
      <c r="F229" s="139"/>
      <c r="G229" s="139"/>
      <c r="H229" s="187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  <c r="AE229" s="139"/>
    </row>
    <row r="230" ht="15.75" customHeight="1">
      <c r="A230" s="137"/>
      <c r="B230" s="139"/>
      <c r="C230" s="139"/>
      <c r="D230" s="139"/>
      <c r="E230" s="139"/>
      <c r="F230" s="139"/>
      <c r="G230" s="139"/>
      <c r="H230" s="187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</row>
    <row r="231" ht="15.75" customHeight="1">
      <c r="A231" s="137"/>
      <c r="B231" s="139"/>
      <c r="C231" s="139"/>
      <c r="D231" s="139"/>
      <c r="E231" s="139"/>
      <c r="F231" s="139"/>
      <c r="G231" s="139"/>
      <c r="H231" s="187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</row>
    <row r="232" ht="15.75" customHeight="1">
      <c r="A232" s="137"/>
      <c r="B232" s="139"/>
      <c r="C232" s="139"/>
      <c r="D232" s="139"/>
      <c r="E232" s="139"/>
      <c r="F232" s="139"/>
      <c r="G232" s="139"/>
      <c r="H232" s="187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39"/>
      <c r="AD232" s="139"/>
      <c r="AE232" s="139"/>
    </row>
    <row r="233" ht="15.75" customHeight="1">
      <c r="A233" s="137"/>
      <c r="B233" s="139"/>
      <c r="C233" s="139"/>
      <c r="D233" s="139"/>
      <c r="E233" s="139"/>
      <c r="F233" s="139"/>
      <c r="G233" s="139"/>
      <c r="H233" s="187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39"/>
      <c r="AD233" s="139"/>
      <c r="AE233" s="139"/>
    </row>
    <row r="234" ht="15.75" customHeight="1">
      <c r="A234" s="137"/>
      <c r="B234" s="139"/>
      <c r="C234" s="139"/>
      <c r="D234" s="139"/>
      <c r="E234" s="139"/>
      <c r="F234" s="139"/>
      <c r="G234" s="139"/>
      <c r="H234" s="187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39"/>
      <c r="AD234" s="139"/>
      <c r="AE234" s="139"/>
    </row>
    <row r="235" ht="15.75" customHeight="1">
      <c r="A235" s="137"/>
      <c r="B235" s="139"/>
      <c r="C235" s="139"/>
      <c r="D235" s="139"/>
      <c r="E235" s="139"/>
      <c r="F235" s="139"/>
      <c r="G235" s="139"/>
      <c r="H235" s="187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  <c r="AE235" s="139"/>
    </row>
    <row r="236" ht="15.75" customHeight="1">
      <c r="A236" s="137"/>
      <c r="B236" s="139"/>
      <c r="C236" s="139"/>
      <c r="D236" s="139"/>
      <c r="E236" s="139"/>
      <c r="F236" s="139"/>
      <c r="G236" s="139"/>
      <c r="H236" s="187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39"/>
      <c r="AD236" s="139"/>
      <c r="AE236" s="139"/>
    </row>
    <row r="237" ht="15.75" customHeight="1">
      <c r="A237" s="137"/>
      <c r="B237" s="139"/>
      <c r="C237" s="139"/>
      <c r="D237" s="139"/>
      <c r="E237" s="139"/>
      <c r="F237" s="139"/>
      <c r="G237" s="139"/>
      <c r="H237" s="187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  <c r="AE237" s="139"/>
    </row>
    <row r="238" ht="15.75" customHeight="1">
      <c r="A238" s="137"/>
      <c r="B238" s="139"/>
      <c r="C238" s="139"/>
      <c r="D238" s="139"/>
      <c r="E238" s="139"/>
      <c r="F238" s="139"/>
      <c r="G238" s="139"/>
      <c r="H238" s="187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</row>
    <row r="239" ht="15.75" customHeight="1">
      <c r="A239" s="137"/>
      <c r="B239" s="139"/>
      <c r="C239" s="139"/>
      <c r="D239" s="139"/>
      <c r="E239" s="139"/>
      <c r="F239" s="139"/>
      <c r="G239" s="139"/>
      <c r="H239" s="187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39"/>
      <c r="AD239" s="139"/>
      <c r="AE239" s="139"/>
    </row>
    <row r="240" ht="15.75" customHeight="1">
      <c r="A240" s="137"/>
      <c r="B240" s="139"/>
      <c r="C240" s="139"/>
      <c r="D240" s="139"/>
      <c r="E240" s="139"/>
      <c r="F240" s="139"/>
      <c r="G240" s="139"/>
      <c r="H240" s="187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  <c r="AE240" s="139"/>
    </row>
    <row r="241" ht="15.75" customHeight="1">
      <c r="A241" s="137"/>
      <c r="B241" s="139"/>
      <c r="C241" s="139"/>
      <c r="D241" s="139"/>
      <c r="E241" s="139"/>
      <c r="F241" s="139"/>
      <c r="G241" s="139"/>
      <c r="H241" s="187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39"/>
      <c r="AD241" s="139"/>
      <c r="AE241" s="139"/>
    </row>
    <row r="242" ht="15.75" customHeight="1">
      <c r="A242" s="137"/>
      <c r="B242" s="139"/>
      <c r="C242" s="139"/>
      <c r="D242" s="139"/>
      <c r="E242" s="139"/>
      <c r="F242" s="139"/>
      <c r="G242" s="139"/>
      <c r="H242" s="187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39"/>
      <c r="AD242" s="139"/>
      <c r="AE242" s="139"/>
    </row>
    <row r="243" ht="15.75" customHeight="1">
      <c r="A243" s="137"/>
      <c r="B243" s="139"/>
      <c r="C243" s="139"/>
      <c r="D243" s="139"/>
      <c r="E243" s="139"/>
      <c r="F243" s="139"/>
      <c r="G243" s="139"/>
      <c r="H243" s="187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</row>
    <row r="244" ht="15.75" customHeight="1">
      <c r="A244" s="137"/>
      <c r="B244" s="139"/>
      <c r="C244" s="139"/>
      <c r="D244" s="139"/>
      <c r="E244" s="139"/>
      <c r="F244" s="139"/>
      <c r="G244" s="139"/>
      <c r="H244" s="187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  <c r="AE244" s="139"/>
    </row>
    <row r="245" ht="15.75" customHeight="1">
      <c r="A245" s="137"/>
      <c r="B245" s="139"/>
      <c r="C245" s="139"/>
      <c r="D245" s="139"/>
      <c r="E245" s="139"/>
      <c r="F245" s="139"/>
      <c r="G245" s="139"/>
      <c r="H245" s="187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</row>
    <row r="246" ht="15.75" customHeight="1">
      <c r="A246" s="137"/>
      <c r="B246" s="139"/>
      <c r="C246" s="139"/>
      <c r="D246" s="139"/>
      <c r="E246" s="139"/>
      <c r="F246" s="139"/>
      <c r="G246" s="139"/>
      <c r="H246" s="187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  <c r="AC246" s="139"/>
      <c r="AD246" s="139"/>
      <c r="AE246" s="139"/>
    </row>
    <row r="247" ht="15.75" customHeight="1">
      <c r="A247" s="137"/>
      <c r="B247" s="139"/>
      <c r="C247" s="139"/>
      <c r="D247" s="139"/>
      <c r="E247" s="139"/>
      <c r="F247" s="139"/>
      <c r="G247" s="139"/>
      <c r="H247" s="187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  <c r="AE247" s="139"/>
    </row>
    <row r="248" ht="15.75" customHeight="1">
      <c r="A248" s="137"/>
      <c r="B248" s="139"/>
      <c r="C248" s="139"/>
      <c r="D248" s="139"/>
      <c r="E248" s="139"/>
      <c r="F248" s="139"/>
      <c r="G248" s="139"/>
      <c r="H248" s="187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  <c r="AE248" s="139"/>
    </row>
    <row r="249" ht="15.75" customHeight="1">
      <c r="A249" s="137"/>
      <c r="B249" s="139"/>
      <c r="C249" s="139"/>
      <c r="D249" s="139"/>
      <c r="E249" s="139"/>
      <c r="F249" s="139"/>
      <c r="G249" s="139"/>
      <c r="H249" s="187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  <c r="AE249" s="139"/>
    </row>
    <row r="250" ht="15.75" customHeight="1">
      <c r="A250" s="137"/>
      <c r="B250" s="139"/>
      <c r="C250" s="139"/>
      <c r="D250" s="139"/>
      <c r="E250" s="139"/>
      <c r="F250" s="139"/>
      <c r="G250" s="139"/>
      <c r="H250" s="187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39"/>
      <c r="AD250" s="139"/>
      <c r="AE250" s="139"/>
    </row>
    <row r="251" ht="15.75" customHeight="1">
      <c r="A251" s="137"/>
      <c r="B251" s="139"/>
      <c r="C251" s="139"/>
      <c r="D251" s="139"/>
      <c r="E251" s="139"/>
      <c r="F251" s="139"/>
      <c r="G251" s="139"/>
      <c r="H251" s="187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</row>
    <row r="252" ht="15.75" customHeight="1">
      <c r="A252" s="137"/>
      <c r="B252" s="139"/>
      <c r="C252" s="139"/>
      <c r="D252" s="139"/>
      <c r="E252" s="139"/>
      <c r="F252" s="139"/>
      <c r="G252" s="139"/>
      <c r="H252" s="187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39"/>
      <c r="AD252" s="139"/>
      <c r="AE252" s="139"/>
    </row>
    <row r="253" ht="15.75" customHeight="1">
      <c r="A253" s="137"/>
      <c r="B253" s="139"/>
      <c r="C253" s="139"/>
      <c r="D253" s="139"/>
      <c r="E253" s="139"/>
      <c r="F253" s="139"/>
      <c r="G253" s="139"/>
      <c r="H253" s="187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  <c r="AE253" s="139"/>
    </row>
    <row r="254" ht="15.75" customHeight="1">
      <c r="A254" s="137"/>
      <c r="B254" s="139"/>
      <c r="C254" s="139"/>
      <c r="D254" s="139"/>
      <c r="E254" s="139"/>
      <c r="F254" s="139"/>
      <c r="G254" s="139"/>
      <c r="H254" s="187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  <c r="AE254" s="139"/>
    </row>
    <row r="255" ht="15.75" customHeight="1">
      <c r="A255" s="137"/>
      <c r="B255" s="139"/>
      <c r="C255" s="139"/>
      <c r="D255" s="139"/>
      <c r="E255" s="139"/>
      <c r="F255" s="139"/>
      <c r="G255" s="139"/>
      <c r="H255" s="187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  <c r="AE255" s="139"/>
    </row>
    <row r="256" ht="15.75" customHeight="1">
      <c r="A256" s="137"/>
      <c r="B256" s="139"/>
      <c r="C256" s="139"/>
      <c r="D256" s="139"/>
      <c r="E256" s="139"/>
      <c r="F256" s="139"/>
      <c r="G256" s="139"/>
      <c r="H256" s="187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39"/>
      <c r="AD256" s="139"/>
      <c r="AE256" s="139"/>
    </row>
    <row r="257" ht="15.75" customHeight="1">
      <c r="A257" s="137"/>
      <c r="B257" s="139"/>
      <c r="C257" s="139"/>
      <c r="D257" s="139"/>
      <c r="E257" s="139"/>
      <c r="F257" s="139"/>
      <c r="G257" s="139"/>
      <c r="H257" s="187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  <c r="AE257" s="139"/>
    </row>
    <row r="258" ht="15.75" customHeight="1">
      <c r="A258" s="137"/>
      <c r="B258" s="139"/>
      <c r="C258" s="139"/>
      <c r="D258" s="139"/>
      <c r="E258" s="139"/>
      <c r="F258" s="139"/>
      <c r="G258" s="139"/>
      <c r="H258" s="187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39"/>
      <c r="AD258" s="139"/>
      <c r="AE258" s="139"/>
    </row>
    <row r="259" ht="15.75" customHeight="1">
      <c r="A259" s="137"/>
      <c r="B259" s="139"/>
      <c r="C259" s="139"/>
      <c r="D259" s="139"/>
      <c r="E259" s="139"/>
      <c r="F259" s="139"/>
      <c r="G259" s="139"/>
      <c r="H259" s="187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</row>
    <row r="260" ht="15.75" customHeight="1">
      <c r="A260" s="137"/>
      <c r="B260" s="139"/>
      <c r="C260" s="139"/>
      <c r="D260" s="139"/>
      <c r="E260" s="139"/>
      <c r="F260" s="139"/>
      <c r="G260" s="139"/>
      <c r="H260" s="187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  <c r="AE260" s="139"/>
    </row>
    <row r="261" ht="15.75" customHeight="1">
      <c r="A261" s="137"/>
      <c r="B261" s="139"/>
      <c r="C261" s="139"/>
      <c r="D261" s="139"/>
      <c r="E261" s="139"/>
      <c r="F261" s="139"/>
      <c r="G261" s="139"/>
      <c r="H261" s="187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  <c r="AE261" s="139"/>
    </row>
    <row r="262" ht="15.75" customHeight="1">
      <c r="A262" s="137"/>
      <c r="B262" s="139"/>
      <c r="C262" s="139"/>
      <c r="D262" s="139"/>
      <c r="E262" s="139"/>
      <c r="F262" s="139"/>
      <c r="G262" s="139"/>
      <c r="H262" s="187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  <c r="AE262" s="139"/>
    </row>
    <row r="263" ht="15.75" customHeight="1">
      <c r="A263" s="137"/>
      <c r="B263" s="139"/>
      <c r="C263" s="139"/>
      <c r="D263" s="139"/>
      <c r="E263" s="139"/>
      <c r="F263" s="139"/>
      <c r="G263" s="139"/>
      <c r="H263" s="187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39"/>
      <c r="AD263" s="139"/>
      <c r="AE263" s="139"/>
    </row>
    <row r="264" ht="15.75" customHeight="1">
      <c r="A264" s="137"/>
      <c r="B264" s="139"/>
      <c r="C264" s="139"/>
      <c r="D264" s="139"/>
      <c r="E264" s="139"/>
      <c r="F264" s="139"/>
      <c r="G264" s="139"/>
      <c r="H264" s="187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  <c r="AE264" s="139"/>
    </row>
    <row r="265" ht="15.75" customHeight="1">
      <c r="A265" s="137"/>
      <c r="B265" s="139"/>
      <c r="C265" s="139"/>
      <c r="D265" s="139"/>
      <c r="E265" s="139"/>
      <c r="F265" s="139"/>
      <c r="G265" s="139"/>
      <c r="H265" s="187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  <c r="AE265" s="139"/>
    </row>
    <row r="266" ht="15.75" customHeight="1">
      <c r="A266" s="137"/>
      <c r="B266" s="139"/>
      <c r="C266" s="139"/>
      <c r="D266" s="139"/>
      <c r="E266" s="139"/>
      <c r="F266" s="139"/>
      <c r="G266" s="139"/>
      <c r="H266" s="187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  <c r="AE266" s="139"/>
    </row>
    <row r="267" ht="15.75" customHeight="1">
      <c r="A267" s="137"/>
      <c r="B267" s="139"/>
      <c r="C267" s="139"/>
      <c r="D267" s="139"/>
      <c r="E267" s="139"/>
      <c r="F267" s="139"/>
      <c r="G267" s="139"/>
      <c r="H267" s="187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  <c r="AE267" s="139"/>
    </row>
    <row r="268" ht="15.75" customHeight="1">
      <c r="A268" s="137"/>
      <c r="B268" s="139"/>
      <c r="C268" s="139"/>
      <c r="D268" s="139"/>
      <c r="E268" s="139"/>
      <c r="F268" s="139"/>
      <c r="G268" s="139"/>
      <c r="H268" s="187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  <c r="AE268" s="139"/>
    </row>
    <row r="269" ht="15.75" customHeight="1">
      <c r="A269" s="137"/>
      <c r="B269" s="139"/>
      <c r="C269" s="139"/>
      <c r="D269" s="139"/>
      <c r="E269" s="139"/>
      <c r="F269" s="139"/>
      <c r="G269" s="139"/>
      <c r="H269" s="187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  <c r="AE269" s="139"/>
    </row>
    <row r="270" ht="15.75" customHeight="1">
      <c r="A270" s="137"/>
      <c r="B270" s="139"/>
      <c r="C270" s="139"/>
      <c r="D270" s="139"/>
      <c r="E270" s="139"/>
      <c r="F270" s="139"/>
      <c r="G270" s="139"/>
      <c r="H270" s="187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  <c r="AE270" s="139"/>
    </row>
    <row r="271" ht="15.75" customHeight="1">
      <c r="A271" s="137"/>
      <c r="B271" s="139"/>
      <c r="C271" s="139"/>
      <c r="D271" s="139"/>
      <c r="E271" s="139"/>
      <c r="F271" s="139"/>
      <c r="G271" s="139"/>
      <c r="H271" s="187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  <c r="AE271" s="139"/>
    </row>
    <row r="272" ht="15.75" customHeight="1">
      <c r="A272" s="137"/>
      <c r="B272" s="139"/>
      <c r="C272" s="139"/>
      <c r="D272" s="139"/>
      <c r="E272" s="139"/>
      <c r="F272" s="139"/>
      <c r="G272" s="139"/>
      <c r="H272" s="187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39"/>
      <c r="AD272" s="139"/>
      <c r="AE272" s="139"/>
    </row>
    <row r="273" ht="15.75" customHeight="1">
      <c r="A273" s="137"/>
      <c r="B273" s="139"/>
      <c r="C273" s="139"/>
      <c r="D273" s="139"/>
      <c r="E273" s="139"/>
      <c r="F273" s="139"/>
      <c r="G273" s="139"/>
      <c r="H273" s="187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  <c r="AE273" s="139"/>
    </row>
    <row r="274" ht="15.75" customHeight="1">
      <c r="A274" s="137"/>
      <c r="B274" s="139"/>
      <c r="C274" s="139"/>
      <c r="D274" s="139"/>
      <c r="E274" s="139"/>
      <c r="F274" s="139"/>
      <c r="G274" s="139"/>
      <c r="H274" s="187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  <c r="AE274" s="139"/>
    </row>
    <row r="275" ht="15.75" customHeight="1">
      <c r="A275" s="137"/>
      <c r="B275" s="139"/>
      <c r="C275" s="139"/>
      <c r="D275" s="139"/>
      <c r="E275" s="139"/>
      <c r="F275" s="139"/>
      <c r="G275" s="139"/>
      <c r="H275" s="187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  <c r="AE275" s="139"/>
    </row>
    <row r="276" ht="15.75" customHeight="1">
      <c r="A276" s="137"/>
      <c r="B276" s="139"/>
      <c r="C276" s="139"/>
      <c r="D276" s="139"/>
      <c r="E276" s="139"/>
      <c r="F276" s="139"/>
      <c r="G276" s="139"/>
      <c r="H276" s="187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39"/>
      <c r="AD276" s="139"/>
      <c r="AE276" s="139"/>
    </row>
    <row r="277" ht="15.75" customHeight="1">
      <c r="A277" s="137"/>
      <c r="B277" s="139"/>
      <c r="C277" s="139"/>
      <c r="D277" s="139"/>
      <c r="E277" s="139"/>
      <c r="F277" s="139"/>
      <c r="G277" s="139"/>
      <c r="H277" s="187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  <c r="AE277" s="139"/>
    </row>
    <row r="278" ht="15.75" customHeight="1">
      <c r="A278" s="137"/>
      <c r="B278" s="139"/>
      <c r="C278" s="139"/>
      <c r="D278" s="139"/>
      <c r="E278" s="139"/>
      <c r="F278" s="139"/>
      <c r="G278" s="139"/>
      <c r="H278" s="187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39"/>
      <c r="AD278" s="139"/>
      <c r="AE278" s="139"/>
    </row>
    <row r="279" ht="15.75" customHeight="1">
      <c r="A279" s="137"/>
      <c r="B279" s="139"/>
      <c r="C279" s="139"/>
      <c r="D279" s="139"/>
      <c r="E279" s="139"/>
      <c r="F279" s="139"/>
      <c r="G279" s="139"/>
      <c r="H279" s="187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39"/>
      <c r="AD279" s="139"/>
      <c r="AE279" s="139"/>
    </row>
    <row r="280" ht="15.75" customHeight="1">
      <c r="A280" s="137"/>
      <c r="B280" s="139"/>
      <c r="C280" s="139"/>
      <c r="D280" s="139"/>
      <c r="E280" s="139"/>
      <c r="F280" s="139"/>
      <c r="G280" s="139"/>
      <c r="H280" s="187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  <c r="AE280" s="139"/>
    </row>
    <row r="281" ht="15.75" customHeight="1">
      <c r="A281" s="137"/>
      <c r="B281" s="139"/>
      <c r="C281" s="139"/>
      <c r="D281" s="139"/>
      <c r="E281" s="139"/>
      <c r="F281" s="139"/>
      <c r="G281" s="139"/>
      <c r="H281" s="187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39"/>
      <c r="AD281" s="139"/>
      <c r="AE281" s="139"/>
    </row>
    <row r="282" ht="15.75" customHeight="1">
      <c r="A282" s="137"/>
      <c r="B282" s="139"/>
      <c r="C282" s="139"/>
      <c r="D282" s="139"/>
      <c r="E282" s="139"/>
      <c r="F282" s="139"/>
      <c r="G282" s="139"/>
      <c r="H282" s="187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/>
      <c r="AD282" s="139"/>
      <c r="AE282" s="139"/>
    </row>
    <row r="283" ht="15.75" customHeight="1">
      <c r="A283" s="137"/>
      <c r="B283" s="139"/>
      <c r="C283" s="139"/>
      <c r="D283" s="139"/>
      <c r="E283" s="139"/>
      <c r="F283" s="139"/>
      <c r="G283" s="139"/>
      <c r="H283" s="187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39"/>
      <c r="AD283" s="139"/>
      <c r="AE283" s="139"/>
    </row>
    <row r="284" ht="15.75" customHeight="1">
      <c r="A284" s="137"/>
      <c r="B284" s="139"/>
      <c r="C284" s="139"/>
      <c r="D284" s="139"/>
      <c r="E284" s="139"/>
      <c r="F284" s="139"/>
      <c r="G284" s="139"/>
      <c r="H284" s="187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  <c r="AE284" s="139"/>
    </row>
    <row r="285" ht="15.75" customHeight="1">
      <c r="A285" s="137"/>
      <c r="B285" s="139"/>
      <c r="C285" s="139"/>
      <c r="D285" s="139"/>
      <c r="E285" s="139"/>
      <c r="F285" s="139"/>
      <c r="G285" s="139"/>
      <c r="H285" s="187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39"/>
      <c r="AD285" s="139"/>
      <c r="AE285" s="139"/>
    </row>
    <row r="286" ht="15.75" customHeight="1">
      <c r="A286" s="137"/>
      <c r="B286" s="139"/>
      <c r="C286" s="139"/>
      <c r="D286" s="139"/>
      <c r="E286" s="139"/>
      <c r="F286" s="139"/>
      <c r="G286" s="139"/>
      <c r="H286" s="187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  <c r="AE286" s="139"/>
    </row>
    <row r="287" ht="15.75" customHeight="1">
      <c r="A287" s="137"/>
      <c r="B287" s="139"/>
      <c r="C287" s="139"/>
      <c r="D287" s="139"/>
      <c r="E287" s="139"/>
      <c r="F287" s="139"/>
      <c r="G287" s="139"/>
      <c r="H287" s="187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</row>
    <row r="288" ht="15.75" customHeight="1">
      <c r="A288" s="137"/>
      <c r="B288" s="139"/>
      <c r="C288" s="139"/>
      <c r="D288" s="139"/>
      <c r="E288" s="139"/>
      <c r="F288" s="139"/>
      <c r="G288" s="139"/>
      <c r="H288" s="187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</row>
    <row r="289" ht="15.75" customHeight="1">
      <c r="A289" s="137"/>
      <c r="B289" s="139"/>
      <c r="C289" s="139"/>
      <c r="D289" s="139"/>
      <c r="E289" s="139"/>
      <c r="F289" s="139"/>
      <c r="G289" s="139"/>
      <c r="H289" s="187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39"/>
      <c r="AD289" s="139"/>
      <c r="AE289" s="139"/>
    </row>
    <row r="290" ht="15.75" customHeight="1">
      <c r="A290" s="137"/>
      <c r="B290" s="139"/>
      <c r="C290" s="139"/>
      <c r="D290" s="139"/>
      <c r="E290" s="139"/>
      <c r="F290" s="139"/>
      <c r="G290" s="139"/>
      <c r="H290" s="187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  <c r="AE290" s="139"/>
    </row>
    <row r="291" ht="15.75" customHeight="1">
      <c r="A291" s="137"/>
      <c r="B291" s="139"/>
      <c r="C291" s="139"/>
      <c r="D291" s="139"/>
      <c r="E291" s="139"/>
      <c r="F291" s="139"/>
      <c r="G291" s="139"/>
      <c r="H291" s="187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  <c r="AE291" s="139"/>
    </row>
    <row r="292" ht="15.75" customHeight="1">
      <c r="A292" s="137"/>
      <c r="B292" s="139"/>
      <c r="C292" s="139"/>
      <c r="D292" s="139"/>
      <c r="E292" s="139"/>
      <c r="F292" s="139"/>
      <c r="G292" s="139"/>
      <c r="H292" s="187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</row>
    <row r="293" ht="15.75" customHeight="1">
      <c r="A293" s="137"/>
      <c r="B293" s="139"/>
      <c r="C293" s="139"/>
      <c r="D293" s="139"/>
      <c r="E293" s="139"/>
      <c r="F293" s="139"/>
      <c r="G293" s="139"/>
      <c r="H293" s="187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  <c r="AC293" s="139"/>
      <c r="AD293" s="139"/>
      <c r="AE293" s="139"/>
    </row>
    <row r="294" ht="15.75" customHeight="1">
      <c r="A294" s="137"/>
      <c r="B294" s="139"/>
      <c r="C294" s="139"/>
      <c r="D294" s="139"/>
      <c r="E294" s="139"/>
      <c r="F294" s="139"/>
      <c r="G294" s="139"/>
      <c r="H294" s="187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</row>
    <row r="295" ht="15.75" customHeight="1">
      <c r="A295" s="137"/>
      <c r="B295" s="139"/>
      <c r="C295" s="139"/>
      <c r="D295" s="139"/>
      <c r="E295" s="139"/>
      <c r="F295" s="139"/>
      <c r="G295" s="139"/>
      <c r="H295" s="187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39"/>
      <c r="AD295" s="139"/>
      <c r="AE295" s="139"/>
    </row>
    <row r="296" ht="15.75" customHeight="1">
      <c r="A296" s="137"/>
      <c r="B296" s="139"/>
      <c r="C296" s="139"/>
      <c r="D296" s="139"/>
      <c r="E296" s="139"/>
      <c r="F296" s="139"/>
      <c r="G296" s="139"/>
      <c r="H296" s="187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/>
      <c r="AE296" s="139"/>
    </row>
    <row r="297" ht="15.75" customHeight="1">
      <c r="A297" s="137"/>
      <c r="B297" s="139"/>
      <c r="C297" s="139"/>
      <c r="D297" s="139"/>
      <c r="E297" s="139"/>
      <c r="F297" s="139"/>
      <c r="G297" s="139"/>
      <c r="H297" s="187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</row>
    <row r="298" ht="15.75" customHeight="1">
      <c r="A298" s="137"/>
      <c r="B298" s="139"/>
      <c r="C298" s="139"/>
      <c r="D298" s="139"/>
      <c r="E298" s="139"/>
      <c r="F298" s="139"/>
      <c r="G298" s="139"/>
      <c r="H298" s="187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  <c r="AE298" s="139"/>
    </row>
    <row r="299" ht="15.75" customHeight="1">
      <c r="A299" s="137"/>
      <c r="B299" s="139"/>
      <c r="C299" s="139"/>
      <c r="D299" s="139"/>
      <c r="E299" s="139"/>
      <c r="F299" s="139"/>
      <c r="G299" s="139"/>
      <c r="H299" s="187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</row>
    <row r="300" ht="15.75" customHeight="1">
      <c r="A300" s="137"/>
      <c r="B300" s="139"/>
      <c r="C300" s="139"/>
      <c r="D300" s="139"/>
      <c r="E300" s="139"/>
      <c r="F300" s="139"/>
      <c r="G300" s="139"/>
      <c r="H300" s="187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  <c r="AE300" s="139"/>
    </row>
    <row r="301" ht="15.75" customHeight="1">
      <c r="A301" s="137"/>
      <c r="B301" s="139"/>
      <c r="C301" s="139"/>
      <c r="D301" s="139"/>
      <c r="E301" s="139"/>
      <c r="F301" s="139"/>
      <c r="G301" s="139"/>
      <c r="H301" s="187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39"/>
      <c r="AD301" s="139"/>
      <c r="AE301" s="139"/>
    </row>
    <row r="302" ht="15.75" customHeight="1">
      <c r="A302" s="137"/>
      <c r="B302" s="139"/>
      <c r="C302" s="139"/>
      <c r="D302" s="139"/>
      <c r="E302" s="139"/>
      <c r="F302" s="139"/>
      <c r="G302" s="139"/>
      <c r="H302" s="187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</row>
    <row r="303" ht="15.75" customHeight="1">
      <c r="A303" s="137"/>
      <c r="B303" s="139"/>
      <c r="C303" s="139"/>
      <c r="D303" s="139"/>
      <c r="E303" s="139"/>
      <c r="F303" s="139"/>
      <c r="G303" s="139"/>
      <c r="H303" s="187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  <c r="AC303" s="139"/>
      <c r="AD303" s="139"/>
      <c r="AE303" s="139"/>
    </row>
    <row r="304" ht="15.75" customHeight="1">
      <c r="A304" s="137"/>
      <c r="B304" s="139"/>
      <c r="C304" s="139"/>
      <c r="D304" s="139"/>
      <c r="E304" s="139"/>
      <c r="F304" s="139"/>
      <c r="G304" s="139"/>
      <c r="H304" s="187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</row>
    <row r="305" ht="15.75" customHeight="1">
      <c r="A305" s="137"/>
      <c r="B305" s="139"/>
      <c r="C305" s="139"/>
      <c r="D305" s="139"/>
      <c r="E305" s="139"/>
      <c r="F305" s="139"/>
      <c r="G305" s="139"/>
      <c r="H305" s="187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</row>
    <row r="306" ht="15.75" customHeight="1">
      <c r="A306" s="137"/>
      <c r="B306" s="139"/>
      <c r="C306" s="139"/>
      <c r="D306" s="139"/>
      <c r="E306" s="139"/>
      <c r="F306" s="139"/>
      <c r="G306" s="139"/>
      <c r="H306" s="187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</row>
    <row r="307" ht="15.75" customHeight="1">
      <c r="A307" s="137"/>
      <c r="B307" s="139"/>
      <c r="C307" s="139"/>
      <c r="D307" s="139"/>
      <c r="E307" s="139"/>
      <c r="F307" s="139"/>
      <c r="G307" s="139"/>
      <c r="H307" s="187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</row>
    <row r="308" ht="15.75" customHeight="1">
      <c r="A308" s="137"/>
      <c r="B308" s="139"/>
      <c r="C308" s="139"/>
      <c r="D308" s="139"/>
      <c r="E308" s="139"/>
      <c r="F308" s="139"/>
      <c r="G308" s="139"/>
      <c r="H308" s="187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</row>
    <row r="309" ht="15.75" customHeight="1">
      <c r="A309" s="137"/>
      <c r="B309" s="139"/>
      <c r="C309" s="139"/>
      <c r="D309" s="139"/>
      <c r="E309" s="139"/>
      <c r="F309" s="139"/>
      <c r="G309" s="139"/>
      <c r="H309" s="187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39"/>
      <c r="AD309" s="139"/>
      <c r="AE309" s="139"/>
    </row>
    <row r="310" ht="15.75" customHeight="1">
      <c r="A310" s="137"/>
      <c r="B310" s="139"/>
      <c r="C310" s="139"/>
      <c r="D310" s="139"/>
      <c r="E310" s="139"/>
      <c r="F310" s="139"/>
      <c r="G310" s="139"/>
      <c r="H310" s="187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</row>
    <row r="311" ht="15.75" customHeight="1">
      <c r="A311" s="137"/>
      <c r="B311" s="139"/>
      <c r="C311" s="139"/>
      <c r="D311" s="139"/>
      <c r="E311" s="139"/>
      <c r="F311" s="139"/>
      <c r="G311" s="139"/>
      <c r="H311" s="187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</row>
    <row r="312" ht="15.75" customHeight="1">
      <c r="A312" s="137"/>
      <c r="B312" s="139"/>
      <c r="C312" s="139"/>
      <c r="D312" s="139"/>
      <c r="E312" s="139"/>
      <c r="F312" s="139"/>
      <c r="G312" s="139"/>
      <c r="H312" s="187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</row>
    <row r="313" ht="15.75" customHeight="1">
      <c r="A313" s="137"/>
      <c r="B313" s="139"/>
      <c r="C313" s="139"/>
      <c r="D313" s="139"/>
      <c r="E313" s="139"/>
      <c r="F313" s="139"/>
      <c r="G313" s="139"/>
      <c r="H313" s="187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</row>
    <row r="314" ht="15.75" customHeight="1">
      <c r="A314" s="137"/>
      <c r="B314" s="139"/>
      <c r="C314" s="139"/>
      <c r="D314" s="139"/>
      <c r="E314" s="139"/>
      <c r="F314" s="139"/>
      <c r="G314" s="139"/>
      <c r="H314" s="187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</row>
    <row r="315" ht="15.75" customHeight="1">
      <c r="A315" s="137"/>
      <c r="B315" s="139"/>
      <c r="C315" s="139"/>
      <c r="D315" s="139"/>
      <c r="E315" s="139"/>
      <c r="F315" s="139"/>
      <c r="G315" s="139"/>
      <c r="H315" s="187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</row>
    <row r="316" ht="15.75" customHeight="1">
      <c r="A316" s="137"/>
      <c r="B316" s="139"/>
      <c r="C316" s="139"/>
      <c r="D316" s="139"/>
      <c r="E316" s="139"/>
      <c r="F316" s="139"/>
      <c r="G316" s="139"/>
      <c r="H316" s="187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</row>
    <row r="317" ht="15.75" customHeight="1">
      <c r="A317" s="137"/>
      <c r="B317" s="139"/>
      <c r="C317" s="139"/>
      <c r="D317" s="139"/>
      <c r="E317" s="139"/>
      <c r="F317" s="139"/>
      <c r="G317" s="139"/>
      <c r="H317" s="187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39"/>
    </row>
    <row r="318" ht="15.75" customHeight="1">
      <c r="A318" s="137"/>
      <c r="B318" s="139"/>
      <c r="C318" s="139"/>
      <c r="D318" s="139"/>
      <c r="E318" s="139"/>
      <c r="F318" s="139"/>
      <c r="G318" s="139"/>
      <c r="H318" s="187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</row>
    <row r="319" ht="15.75" customHeight="1">
      <c r="A319" s="137"/>
      <c r="B319" s="139"/>
      <c r="C319" s="139"/>
      <c r="D319" s="139"/>
      <c r="E319" s="139"/>
      <c r="F319" s="139"/>
      <c r="G319" s="139"/>
      <c r="H319" s="187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</row>
    <row r="320" ht="15.75" customHeight="1">
      <c r="A320" s="137"/>
      <c r="B320" s="139"/>
      <c r="C320" s="139"/>
      <c r="D320" s="139"/>
      <c r="E320" s="139"/>
      <c r="F320" s="139"/>
      <c r="G320" s="139"/>
      <c r="H320" s="187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</row>
    <row r="321" ht="15.75" customHeight="1">
      <c r="A321" s="137"/>
      <c r="B321" s="139"/>
      <c r="C321" s="139"/>
      <c r="D321" s="139"/>
      <c r="E321" s="139"/>
      <c r="F321" s="139"/>
      <c r="G321" s="139"/>
      <c r="H321" s="187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</row>
    <row r="322" ht="15.75" customHeight="1">
      <c r="A322" s="137"/>
      <c r="B322" s="139"/>
      <c r="C322" s="139"/>
      <c r="D322" s="139"/>
      <c r="E322" s="139"/>
      <c r="F322" s="139"/>
      <c r="G322" s="139"/>
      <c r="H322" s="187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</row>
    <row r="323" ht="15.75" customHeight="1">
      <c r="A323" s="137"/>
      <c r="B323" s="139"/>
      <c r="C323" s="139"/>
      <c r="D323" s="139"/>
      <c r="E323" s="139"/>
      <c r="F323" s="139"/>
      <c r="G323" s="139"/>
      <c r="H323" s="187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</row>
    <row r="324" ht="15.75" customHeight="1">
      <c r="A324" s="137"/>
      <c r="B324" s="139"/>
      <c r="C324" s="139"/>
      <c r="D324" s="139"/>
      <c r="E324" s="139"/>
      <c r="F324" s="139"/>
      <c r="G324" s="139"/>
      <c r="H324" s="187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</row>
    <row r="325" ht="15.75" customHeight="1">
      <c r="A325" s="137"/>
      <c r="B325" s="139"/>
      <c r="C325" s="139"/>
      <c r="D325" s="139"/>
      <c r="E325" s="139"/>
      <c r="F325" s="139"/>
      <c r="G325" s="139"/>
      <c r="H325" s="187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</row>
    <row r="326" ht="15.75" customHeight="1">
      <c r="A326" s="137"/>
      <c r="B326" s="139"/>
      <c r="C326" s="139"/>
      <c r="D326" s="139"/>
      <c r="E326" s="139"/>
      <c r="F326" s="139"/>
      <c r="G326" s="139"/>
      <c r="H326" s="187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</row>
    <row r="327" ht="15.75" customHeight="1">
      <c r="A327" s="137"/>
      <c r="B327" s="139"/>
      <c r="C327" s="139"/>
      <c r="D327" s="139"/>
      <c r="E327" s="139"/>
      <c r="F327" s="139"/>
      <c r="G327" s="139"/>
      <c r="H327" s="187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</row>
    <row r="328" ht="15.75" customHeight="1">
      <c r="A328" s="137"/>
      <c r="B328" s="139"/>
      <c r="C328" s="139"/>
      <c r="D328" s="139"/>
      <c r="E328" s="139"/>
      <c r="F328" s="139"/>
      <c r="G328" s="139"/>
      <c r="H328" s="187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</row>
    <row r="329" ht="15.75" customHeight="1">
      <c r="A329" s="137"/>
      <c r="B329" s="139"/>
      <c r="C329" s="139"/>
      <c r="D329" s="139"/>
      <c r="E329" s="139"/>
      <c r="F329" s="139"/>
      <c r="G329" s="139"/>
      <c r="H329" s="187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</row>
    <row r="330" ht="15.75" customHeight="1">
      <c r="A330" s="137"/>
      <c r="B330" s="139"/>
      <c r="C330" s="139"/>
      <c r="D330" s="139"/>
      <c r="E330" s="139"/>
      <c r="F330" s="139"/>
      <c r="G330" s="139"/>
      <c r="H330" s="187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</row>
    <row r="331" ht="15.75" customHeight="1">
      <c r="A331" s="137"/>
      <c r="B331" s="139"/>
      <c r="C331" s="139"/>
      <c r="D331" s="139"/>
      <c r="E331" s="139"/>
      <c r="F331" s="139"/>
      <c r="G331" s="139"/>
      <c r="H331" s="187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</row>
    <row r="332" ht="15.75" customHeight="1">
      <c r="A332" s="137"/>
      <c r="B332" s="139"/>
      <c r="C332" s="139"/>
      <c r="D332" s="139"/>
      <c r="E332" s="139"/>
      <c r="F332" s="139"/>
      <c r="G332" s="139"/>
      <c r="H332" s="187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</row>
    <row r="333" ht="15.75" customHeight="1">
      <c r="A333" s="137"/>
      <c r="B333" s="139"/>
      <c r="C333" s="139"/>
      <c r="D333" s="139"/>
      <c r="E333" s="139"/>
      <c r="F333" s="139"/>
      <c r="G333" s="139"/>
      <c r="H333" s="187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</row>
    <row r="334" ht="15.75" customHeight="1">
      <c r="A334" s="137"/>
      <c r="B334" s="139"/>
      <c r="C334" s="139"/>
      <c r="D334" s="139"/>
      <c r="E334" s="139"/>
      <c r="F334" s="139"/>
      <c r="G334" s="139"/>
      <c r="H334" s="187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</row>
    <row r="335" ht="15.75" customHeight="1">
      <c r="A335" s="137"/>
      <c r="B335" s="139"/>
      <c r="C335" s="139"/>
      <c r="D335" s="139"/>
      <c r="E335" s="139"/>
      <c r="F335" s="139"/>
      <c r="G335" s="139"/>
      <c r="H335" s="187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</row>
    <row r="336" ht="15.75" customHeight="1">
      <c r="A336" s="137"/>
      <c r="B336" s="139"/>
      <c r="C336" s="139"/>
      <c r="D336" s="139"/>
      <c r="E336" s="139"/>
      <c r="F336" s="139"/>
      <c r="G336" s="139"/>
      <c r="H336" s="187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</row>
    <row r="337" ht="15.75" customHeight="1">
      <c r="A337" s="137"/>
      <c r="B337" s="139"/>
      <c r="C337" s="139"/>
      <c r="D337" s="139"/>
      <c r="E337" s="139"/>
      <c r="F337" s="139"/>
      <c r="G337" s="139"/>
      <c r="H337" s="187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</row>
    <row r="338" ht="15.75" customHeight="1">
      <c r="A338" s="137"/>
      <c r="B338" s="139"/>
      <c r="C338" s="139"/>
      <c r="D338" s="139"/>
      <c r="E338" s="139"/>
      <c r="F338" s="139"/>
      <c r="G338" s="139"/>
      <c r="H338" s="187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</row>
    <row r="339" ht="15.75" customHeight="1">
      <c r="A339" s="137"/>
      <c r="B339" s="139"/>
      <c r="C339" s="139"/>
      <c r="D339" s="139"/>
      <c r="E339" s="139"/>
      <c r="F339" s="139"/>
      <c r="G339" s="139"/>
      <c r="H339" s="187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</row>
    <row r="340" ht="15.75" customHeight="1">
      <c r="A340" s="137"/>
      <c r="B340" s="139"/>
      <c r="C340" s="139"/>
      <c r="D340" s="139"/>
      <c r="E340" s="139"/>
      <c r="F340" s="139"/>
      <c r="G340" s="139"/>
      <c r="H340" s="187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</row>
    <row r="341" ht="15.75" customHeight="1">
      <c r="A341" s="137"/>
      <c r="B341" s="139"/>
      <c r="C341" s="139"/>
      <c r="D341" s="139"/>
      <c r="E341" s="139"/>
      <c r="F341" s="139"/>
      <c r="G341" s="139"/>
      <c r="H341" s="187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</row>
    <row r="342" ht="15.75" customHeight="1">
      <c r="A342" s="137"/>
      <c r="B342" s="139"/>
      <c r="C342" s="139"/>
      <c r="D342" s="139"/>
      <c r="E342" s="139"/>
      <c r="F342" s="139"/>
      <c r="G342" s="139"/>
      <c r="H342" s="187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</row>
    <row r="343" ht="15.75" customHeight="1">
      <c r="A343" s="137"/>
      <c r="B343" s="139"/>
      <c r="C343" s="139"/>
      <c r="D343" s="139"/>
      <c r="E343" s="139"/>
      <c r="F343" s="139"/>
      <c r="G343" s="139"/>
      <c r="H343" s="187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</row>
    <row r="344" ht="15.75" customHeight="1">
      <c r="A344" s="137"/>
      <c r="B344" s="139"/>
      <c r="C344" s="139"/>
      <c r="D344" s="139"/>
      <c r="E344" s="139"/>
      <c r="F344" s="139"/>
      <c r="G344" s="139"/>
      <c r="H344" s="187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</row>
    <row r="345" ht="15.75" customHeight="1">
      <c r="A345" s="137"/>
      <c r="B345" s="139"/>
      <c r="C345" s="139"/>
      <c r="D345" s="139"/>
      <c r="E345" s="139"/>
      <c r="F345" s="139"/>
      <c r="G345" s="139"/>
      <c r="H345" s="187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</row>
    <row r="346" ht="15.75" customHeight="1">
      <c r="A346" s="137"/>
      <c r="B346" s="139"/>
      <c r="C346" s="139"/>
      <c r="D346" s="139"/>
      <c r="E346" s="139"/>
      <c r="F346" s="139"/>
      <c r="G346" s="139"/>
      <c r="H346" s="187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</row>
    <row r="347" ht="15.75" customHeight="1">
      <c r="A347" s="137"/>
      <c r="B347" s="139"/>
      <c r="C347" s="139"/>
      <c r="D347" s="139"/>
      <c r="E347" s="139"/>
      <c r="F347" s="139"/>
      <c r="G347" s="139"/>
      <c r="H347" s="187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</row>
    <row r="348" ht="15.75" customHeight="1">
      <c r="A348" s="137"/>
      <c r="B348" s="139"/>
      <c r="C348" s="139"/>
      <c r="D348" s="139"/>
      <c r="E348" s="139"/>
      <c r="F348" s="139"/>
      <c r="G348" s="139"/>
      <c r="H348" s="187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</row>
    <row r="349" ht="15.75" customHeight="1">
      <c r="A349" s="137"/>
      <c r="B349" s="139"/>
      <c r="C349" s="139"/>
      <c r="D349" s="139"/>
      <c r="E349" s="139"/>
      <c r="F349" s="139"/>
      <c r="G349" s="139"/>
      <c r="H349" s="187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</row>
    <row r="350" ht="15.75" customHeight="1">
      <c r="A350" s="137"/>
      <c r="B350" s="139"/>
      <c r="C350" s="139"/>
      <c r="D350" s="139"/>
      <c r="E350" s="139"/>
      <c r="F350" s="139"/>
      <c r="G350" s="139"/>
      <c r="H350" s="187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</row>
    <row r="351" ht="15.75" customHeight="1">
      <c r="A351" s="137"/>
      <c r="B351" s="139"/>
      <c r="C351" s="139"/>
      <c r="D351" s="139"/>
      <c r="E351" s="139"/>
      <c r="F351" s="139"/>
      <c r="G351" s="139"/>
      <c r="H351" s="187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</row>
    <row r="352" ht="15.75" customHeight="1">
      <c r="A352" s="137"/>
      <c r="B352" s="139"/>
      <c r="C352" s="139"/>
      <c r="D352" s="139"/>
      <c r="E352" s="139"/>
      <c r="F352" s="139"/>
      <c r="G352" s="139"/>
      <c r="H352" s="187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</row>
    <row r="353" ht="15.75" customHeight="1">
      <c r="A353" s="137"/>
      <c r="B353" s="139"/>
      <c r="C353" s="139"/>
      <c r="D353" s="139"/>
      <c r="E353" s="139"/>
      <c r="F353" s="139"/>
      <c r="G353" s="139"/>
      <c r="H353" s="187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</row>
    <row r="354" ht="15.75" customHeight="1">
      <c r="A354" s="137"/>
      <c r="B354" s="139"/>
      <c r="C354" s="139"/>
      <c r="D354" s="139"/>
      <c r="E354" s="139"/>
      <c r="F354" s="139"/>
      <c r="G354" s="139"/>
      <c r="H354" s="187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</row>
    <row r="355" ht="15.75" customHeight="1">
      <c r="A355" s="137"/>
      <c r="B355" s="139"/>
      <c r="C355" s="139"/>
      <c r="D355" s="139"/>
      <c r="E355" s="139"/>
      <c r="F355" s="139"/>
      <c r="G355" s="139"/>
      <c r="H355" s="187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</row>
    <row r="356" ht="15.75" customHeight="1">
      <c r="A356" s="137"/>
      <c r="B356" s="139"/>
      <c r="C356" s="139"/>
      <c r="D356" s="139"/>
      <c r="E356" s="139"/>
      <c r="F356" s="139"/>
      <c r="G356" s="139"/>
      <c r="H356" s="187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</row>
    <row r="357" ht="15.75" customHeight="1">
      <c r="A357" s="137"/>
      <c r="B357" s="139"/>
      <c r="C357" s="139"/>
      <c r="D357" s="139"/>
      <c r="E357" s="139"/>
      <c r="F357" s="139"/>
      <c r="G357" s="139"/>
      <c r="H357" s="187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</row>
    <row r="358" ht="15.75" customHeight="1">
      <c r="A358" s="137"/>
      <c r="B358" s="139"/>
      <c r="C358" s="139"/>
      <c r="D358" s="139"/>
      <c r="E358" s="139"/>
      <c r="F358" s="139"/>
      <c r="G358" s="139"/>
      <c r="H358" s="187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</row>
    <row r="359" ht="15.75" customHeight="1">
      <c r="A359" s="137"/>
      <c r="B359" s="139"/>
      <c r="C359" s="139"/>
      <c r="D359" s="139"/>
      <c r="E359" s="139"/>
      <c r="F359" s="139"/>
      <c r="G359" s="139"/>
      <c r="H359" s="187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</row>
    <row r="360" ht="15.75" customHeight="1">
      <c r="A360" s="137"/>
      <c r="B360" s="139"/>
      <c r="C360" s="139"/>
      <c r="D360" s="139"/>
      <c r="E360" s="139"/>
      <c r="F360" s="139"/>
      <c r="G360" s="139"/>
      <c r="H360" s="187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</row>
    <row r="361" ht="15.75" customHeight="1">
      <c r="A361" s="137"/>
      <c r="B361" s="139"/>
      <c r="C361" s="139"/>
      <c r="D361" s="139"/>
      <c r="E361" s="139"/>
      <c r="F361" s="139"/>
      <c r="G361" s="139"/>
      <c r="H361" s="187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</row>
    <row r="362" ht="15.75" customHeight="1">
      <c r="A362" s="137"/>
      <c r="B362" s="139"/>
      <c r="C362" s="139"/>
      <c r="D362" s="139"/>
      <c r="E362" s="139"/>
      <c r="F362" s="139"/>
      <c r="G362" s="139"/>
      <c r="H362" s="187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</row>
    <row r="363" ht="15.75" customHeight="1">
      <c r="A363" s="137"/>
      <c r="B363" s="139"/>
      <c r="C363" s="139"/>
      <c r="D363" s="139"/>
      <c r="E363" s="139"/>
      <c r="F363" s="139"/>
      <c r="G363" s="139"/>
      <c r="H363" s="187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</row>
    <row r="364" ht="15.75" customHeight="1">
      <c r="A364" s="137"/>
      <c r="B364" s="139"/>
      <c r="C364" s="139"/>
      <c r="D364" s="139"/>
      <c r="E364" s="139"/>
      <c r="F364" s="139"/>
      <c r="G364" s="139"/>
      <c r="H364" s="187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</row>
    <row r="365" ht="15.75" customHeight="1">
      <c r="A365" s="137"/>
      <c r="B365" s="139"/>
      <c r="C365" s="139"/>
      <c r="D365" s="139"/>
      <c r="E365" s="139"/>
      <c r="F365" s="139"/>
      <c r="G365" s="139"/>
      <c r="H365" s="187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</row>
    <row r="366" ht="15.75" customHeight="1">
      <c r="A366" s="137"/>
      <c r="B366" s="139"/>
      <c r="C366" s="139"/>
      <c r="D366" s="139"/>
      <c r="E366" s="139"/>
      <c r="F366" s="139"/>
      <c r="G366" s="139"/>
      <c r="H366" s="187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</row>
    <row r="367" ht="15.75" customHeight="1">
      <c r="A367" s="137"/>
      <c r="B367" s="139"/>
      <c r="C367" s="139"/>
      <c r="D367" s="139"/>
      <c r="E367" s="139"/>
      <c r="F367" s="139"/>
      <c r="G367" s="139"/>
      <c r="H367" s="187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</row>
    <row r="368" ht="15.75" customHeight="1">
      <c r="A368" s="137"/>
      <c r="B368" s="139"/>
      <c r="C368" s="139"/>
      <c r="D368" s="139"/>
      <c r="E368" s="139"/>
      <c r="F368" s="139"/>
      <c r="G368" s="139"/>
      <c r="H368" s="187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</row>
    <row r="369" ht="15.75" customHeight="1">
      <c r="A369" s="137"/>
      <c r="B369" s="139"/>
      <c r="C369" s="139"/>
      <c r="D369" s="139"/>
      <c r="E369" s="139"/>
      <c r="F369" s="139"/>
      <c r="G369" s="139"/>
      <c r="H369" s="187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</row>
    <row r="370" ht="15.75" customHeight="1">
      <c r="A370" s="137"/>
      <c r="B370" s="139"/>
      <c r="C370" s="139"/>
      <c r="D370" s="139"/>
      <c r="E370" s="139"/>
      <c r="F370" s="139"/>
      <c r="G370" s="139"/>
      <c r="H370" s="187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</row>
    <row r="371" ht="15.75" customHeight="1">
      <c r="A371" s="137"/>
      <c r="B371" s="139"/>
      <c r="C371" s="139"/>
      <c r="D371" s="139"/>
      <c r="E371" s="139"/>
      <c r="F371" s="139"/>
      <c r="G371" s="139"/>
      <c r="H371" s="187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</row>
    <row r="372" ht="15.75" customHeight="1">
      <c r="A372" s="137"/>
      <c r="B372" s="139"/>
      <c r="C372" s="139"/>
      <c r="D372" s="139"/>
      <c r="E372" s="139"/>
      <c r="F372" s="139"/>
      <c r="G372" s="139"/>
      <c r="H372" s="187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</row>
    <row r="373" ht="15.75" customHeight="1">
      <c r="A373" s="137"/>
      <c r="B373" s="139"/>
      <c r="C373" s="139"/>
      <c r="D373" s="139"/>
      <c r="E373" s="139"/>
      <c r="F373" s="139"/>
      <c r="G373" s="139"/>
      <c r="H373" s="187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39"/>
      <c r="AD373" s="139"/>
      <c r="AE373" s="139"/>
    </row>
    <row r="374" ht="15.75" customHeight="1">
      <c r="A374" s="137"/>
      <c r="B374" s="139"/>
      <c r="C374" s="139"/>
      <c r="D374" s="139"/>
      <c r="E374" s="139"/>
      <c r="F374" s="139"/>
      <c r="G374" s="139"/>
      <c r="H374" s="187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</row>
    <row r="375" ht="15.75" customHeight="1">
      <c r="A375" s="137"/>
      <c r="B375" s="139"/>
      <c r="C375" s="139"/>
      <c r="D375" s="139"/>
      <c r="E375" s="139"/>
      <c r="F375" s="139"/>
      <c r="G375" s="139"/>
      <c r="H375" s="187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39"/>
      <c r="AD375" s="139"/>
      <c r="AE375" s="139"/>
    </row>
    <row r="376" ht="15.75" customHeight="1">
      <c r="A376" s="137"/>
      <c r="B376" s="139"/>
      <c r="C376" s="139"/>
      <c r="D376" s="139"/>
      <c r="E376" s="139"/>
      <c r="F376" s="139"/>
      <c r="G376" s="139"/>
      <c r="H376" s="187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39"/>
      <c r="AD376" s="139"/>
      <c r="AE376" s="139"/>
    </row>
    <row r="377" ht="15.75" customHeight="1">
      <c r="A377" s="137"/>
      <c r="B377" s="139"/>
      <c r="C377" s="139"/>
      <c r="D377" s="139"/>
      <c r="E377" s="139"/>
      <c r="F377" s="139"/>
      <c r="G377" s="139"/>
      <c r="H377" s="187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39"/>
      <c r="AD377" s="139"/>
      <c r="AE377" s="139"/>
    </row>
    <row r="378" ht="15.75" customHeight="1">
      <c r="A378" s="137"/>
      <c r="B378" s="139"/>
      <c r="C378" s="139"/>
      <c r="D378" s="139"/>
      <c r="E378" s="139"/>
      <c r="F378" s="139"/>
      <c r="G378" s="139"/>
      <c r="H378" s="187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</row>
    <row r="379" ht="15.75" customHeight="1">
      <c r="A379" s="137"/>
      <c r="B379" s="139"/>
      <c r="C379" s="139"/>
      <c r="D379" s="139"/>
      <c r="E379" s="139"/>
      <c r="F379" s="139"/>
      <c r="G379" s="139"/>
      <c r="H379" s="187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  <c r="AC379" s="139"/>
      <c r="AD379" s="139"/>
      <c r="AE379" s="139"/>
    </row>
    <row r="380" ht="15.75" customHeight="1">
      <c r="A380" s="137"/>
      <c r="B380" s="139"/>
      <c r="C380" s="139"/>
      <c r="D380" s="139"/>
      <c r="E380" s="139"/>
      <c r="F380" s="139"/>
      <c r="G380" s="139"/>
      <c r="H380" s="187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/>
      <c r="AD380" s="139"/>
      <c r="AE380" s="139"/>
    </row>
    <row r="381" ht="15.75" customHeight="1">
      <c r="A381" s="137"/>
      <c r="B381" s="139"/>
      <c r="C381" s="139"/>
      <c r="D381" s="139"/>
      <c r="E381" s="139"/>
      <c r="F381" s="139"/>
      <c r="G381" s="139"/>
      <c r="H381" s="187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39"/>
      <c r="AD381" s="139"/>
      <c r="AE381" s="139"/>
    </row>
    <row r="382" ht="15.75" customHeight="1">
      <c r="A382" s="137"/>
      <c r="B382" s="139"/>
      <c r="C382" s="139"/>
      <c r="D382" s="139"/>
      <c r="E382" s="139"/>
      <c r="F382" s="139"/>
      <c r="G382" s="139"/>
      <c r="H382" s="187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39"/>
      <c r="AD382" s="139"/>
      <c r="AE382" s="139"/>
    </row>
    <row r="383" ht="15.75" customHeight="1">
      <c r="A383" s="137"/>
      <c r="B383" s="139"/>
      <c r="C383" s="139"/>
      <c r="D383" s="139"/>
      <c r="E383" s="139"/>
      <c r="F383" s="139"/>
      <c r="G383" s="139"/>
      <c r="H383" s="187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</row>
    <row r="384" ht="15.75" customHeight="1">
      <c r="A384" s="137"/>
      <c r="B384" s="139"/>
      <c r="C384" s="139"/>
      <c r="D384" s="139"/>
      <c r="E384" s="139"/>
      <c r="F384" s="139"/>
      <c r="G384" s="139"/>
      <c r="H384" s="187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39"/>
      <c r="AD384" s="139"/>
      <c r="AE384" s="139"/>
    </row>
    <row r="385" ht="15.75" customHeight="1">
      <c r="A385" s="137"/>
      <c r="B385" s="139"/>
      <c r="C385" s="139"/>
      <c r="D385" s="139"/>
      <c r="E385" s="139"/>
      <c r="F385" s="139"/>
      <c r="G385" s="139"/>
      <c r="H385" s="187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</row>
    <row r="386" ht="15.75" customHeight="1">
      <c r="A386" s="137"/>
      <c r="B386" s="139"/>
      <c r="C386" s="139"/>
      <c r="D386" s="139"/>
      <c r="E386" s="139"/>
      <c r="F386" s="139"/>
      <c r="G386" s="139"/>
      <c r="H386" s="187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39"/>
      <c r="AE386" s="139"/>
    </row>
    <row r="387" ht="15.75" customHeight="1">
      <c r="A387" s="137"/>
      <c r="B387" s="139"/>
      <c r="C387" s="139"/>
      <c r="D387" s="139"/>
      <c r="E387" s="139"/>
      <c r="F387" s="139"/>
      <c r="G387" s="139"/>
      <c r="H387" s="187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  <c r="AC387" s="139"/>
      <c r="AD387" s="139"/>
      <c r="AE387" s="139"/>
    </row>
    <row r="388" ht="15.75" customHeight="1">
      <c r="A388" s="137"/>
      <c r="B388" s="139"/>
      <c r="C388" s="139"/>
      <c r="D388" s="139"/>
      <c r="E388" s="139"/>
      <c r="F388" s="139"/>
      <c r="G388" s="139"/>
      <c r="H388" s="187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</row>
    <row r="389" ht="15.75" customHeight="1">
      <c r="A389" s="137"/>
      <c r="B389" s="139"/>
      <c r="C389" s="139"/>
      <c r="D389" s="139"/>
      <c r="E389" s="139"/>
      <c r="F389" s="139"/>
      <c r="G389" s="139"/>
      <c r="H389" s="187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39"/>
      <c r="AD389" s="139"/>
      <c r="AE389" s="139"/>
    </row>
    <row r="390" ht="15.75" customHeight="1">
      <c r="A390" s="137"/>
      <c r="B390" s="139"/>
      <c r="C390" s="139"/>
      <c r="D390" s="139"/>
      <c r="E390" s="139"/>
      <c r="F390" s="139"/>
      <c r="G390" s="139"/>
      <c r="H390" s="187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</row>
    <row r="391" ht="15.75" customHeight="1">
      <c r="A391" s="137"/>
      <c r="B391" s="139"/>
      <c r="C391" s="139"/>
      <c r="D391" s="139"/>
      <c r="E391" s="139"/>
      <c r="F391" s="139"/>
      <c r="G391" s="139"/>
      <c r="H391" s="187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39"/>
      <c r="AD391" s="139"/>
      <c r="AE391" s="139"/>
    </row>
    <row r="392" ht="15.75" customHeight="1">
      <c r="A392" s="137"/>
      <c r="B392" s="139"/>
      <c r="C392" s="139"/>
      <c r="D392" s="139"/>
      <c r="E392" s="139"/>
      <c r="F392" s="139"/>
      <c r="G392" s="139"/>
      <c r="H392" s="187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</row>
    <row r="393" ht="15.75" customHeight="1">
      <c r="A393" s="137"/>
      <c r="B393" s="139"/>
      <c r="C393" s="139"/>
      <c r="D393" s="139"/>
      <c r="E393" s="139"/>
      <c r="F393" s="139"/>
      <c r="G393" s="139"/>
      <c r="H393" s="187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</row>
    <row r="394" ht="15.75" customHeight="1">
      <c r="A394" s="137"/>
      <c r="B394" s="139"/>
      <c r="C394" s="139"/>
      <c r="D394" s="139"/>
      <c r="E394" s="139"/>
      <c r="F394" s="139"/>
      <c r="G394" s="139"/>
      <c r="H394" s="187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</row>
    <row r="395" ht="15.75" customHeight="1">
      <c r="A395" s="137"/>
      <c r="B395" s="139"/>
      <c r="C395" s="139"/>
      <c r="D395" s="139"/>
      <c r="E395" s="139"/>
      <c r="F395" s="139"/>
      <c r="G395" s="139"/>
      <c r="H395" s="187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  <c r="AC395" s="139"/>
      <c r="AD395" s="139"/>
      <c r="AE395" s="139"/>
    </row>
    <row r="396" ht="15.75" customHeight="1">
      <c r="A396" s="137"/>
      <c r="B396" s="139"/>
      <c r="C396" s="139"/>
      <c r="D396" s="139"/>
      <c r="E396" s="139"/>
      <c r="F396" s="139"/>
      <c r="G396" s="139"/>
      <c r="H396" s="187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</row>
    <row r="397" ht="15.75" customHeight="1">
      <c r="A397" s="137"/>
      <c r="B397" s="139"/>
      <c r="C397" s="139"/>
      <c r="D397" s="139"/>
      <c r="E397" s="139"/>
      <c r="F397" s="139"/>
      <c r="G397" s="139"/>
      <c r="H397" s="187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39"/>
      <c r="AD397" s="139"/>
      <c r="AE397" s="139"/>
    </row>
    <row r="398" ht="15.75" customHeight="1">
      <c r="A398" s="137"/>
      <c r="B398" s="139"/>
      <c r="C398" s="139"/>
      <c r="D398" s="139"/>
      <c r="E398" s="139"/>
      <c r="F398" s="139"/>
      <c r="G398" s="139"/>
      <c r="H398" s="187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39"/>
      <c r="AD398" s="139"/>
      <c r="AE398" s="139"/>
    </row>
    <row r="399" ht="15.75" customHeight="1">
      <c r="A399" s="137"/>
      <c r="B399" s="139"/>
      <c r="C399" s="139"/>
      <c r="D399" s="139"/>
      <c r="E399" s="139"/>
      <c r="F399" s="139"/>
      <c r="G399" s="139"/>
      <c r="H399" s="187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39"/>
      <c r="AD399" s="139"/>
      <c r="AE399" s="139"/>
    </row>
    <row r="400" ht="15.75" customHeight="1">
      <c r="A400" s="137"/>
      <c r="B400" s="139"/>
      <c r="C400" s="139"/>
      <c r="D400" s="139"/>
      <c r="E400" s="139"/>
      <c r="F400" s="139"/>
      <c r="G400" s="139"/>
      <c r="H400" s="187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</row>
    <row r="401" ht="15.75" customHeight="1">
      <c r="A401" s="137"/>
      <c r="B401" s="139"/>
      <c r="C401" s="139"/>
      <c r="D401" s="139"/>
      <c r="E401" s="139"/>
      <c r="F401" s="139"/>
      <c r="G401" s="139"/>
      <c r="H401" s="187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39"/>
      <c r="AD401" s="139"/>
      <c r="AE401" s="139"/>
    </row>
    <row r="402" ht="15.75" customHeight="1">
      <c r="A402" s="137"/>
      <c r="B402" s="139"/>
      <c r="C402" s="139"/>
      <c r="D402" s="139"/>
      <c r="E402" s="139"/>
      <c r="F402" s="139"/>
      <c r="G402" s="139"/>
      <c r="H402" s="187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39"/>
      <c r="AD402" s="139"/>
      <c r="AE402" s="139"/>
    </row>
    <row r="403" ht="15.75" customHeight="1">
      <c r="A403" s="137"/>
      <c r="B403" s="139"/>
      <c r="C403" s="139"/>
      <c r="D403" s="139"/>
      <c r="E403" s="139"/>
      <c r="F403" s="139"/>
      <c r="G403" s="139"/>
      <c r="H403" s="187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  <c r="AC403" s="139"/>
      <c r="AD403" s="139"/>
      <c r="AE403" s="139"/>
    </row>
    <row r="404" ht="15.75" customHeight="1">
      <c r="A404" s="137"/>
      <c r="B404" s="139"/>
      <c r="C404" s="139"/>
      <c r="D404" s="139"/>
      <c r="E404" s="139"/>
      <c r="F404" s="139"/>
      <c r="G404" s="139"/>
      <c r="H404" s="187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</row>
    <row r="405" ht="15.75" customHeight="1">
      <c r="A405" s="137"/>
      <c r="B405" s="139"/>
      <c r="C405" s="139"/>
      <c r="D405" s="139"/>
      <c r="E405" s="139"/>
      <c r="F405" s="139"/>
      <c r="G405" s="139"/>
      <c r="H405" s="187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39"/>
      <c r="AD405" s="139"/>
      <c r="AE405" s="139"/>
    </row>
    <row r="406" ht="15.75" customHeight="1">
      <c r="A406" s="137"/>
      <c r="B406" s="139"/>
      <c r="C406" s="139"/>
      <c r="D406" s="139"/>
      <c r="E406" s="139"/>
      <c r="F406" s="139"/>
      <c r="G406" s="139"/>
      <c r="H406" s="187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39"/>
      <c r="AD406" s="139"/>
      <c r="AE406" s="139"/>
    </row>
    <row r="407" ht="15.75" customHeight="1">
      <c r="A407" s="137"/>
      <c r="B407" s="139"/>
      <c r="C407" s="139"/>
      <c r="D407" s="139"/>
      <c r="E407" s="139"/>
      <c r="F407" s="139"/>
      <c r="G407" s="139"/>
      <c r="H407" s="187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</row>
    <row r="408" ht="15.75" customHeight="1">
      <c r="A408" s="137"/>
      <c r="B408" s="139"/>
      <c r="C408" s="139"/>
      <c r="D408" s="139"/>
      <c r="E408" s="139"/>
      <c r="F408" s="139"/>
      <c r="G408" s="139"/>
      <c r="H408" s="187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</row>
    <row r="409" ht="15.75" customHeight="1">
      <c r="A409" s="137"/>
      <c r="B409" s="139"/>
      <c r="C409" s="139"/>
      <c r="D409" s="139"/>
      <c r="E409" s="139"/>
      <c r="F409" s="139"/>
      <c r="G409" s="139"/>
      <c r="H409" s="187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</row>
    <row r="410" ht="15.75" customHeight="1">
      <c r="A410" s="137"/>
      <c r="B410" s="139"/>
      <c r="C410" s="139"/>
      <c r="D410" s="139"/>
      <c r="E410" s="139"/>
      <c r="F410" s="139"/>
      <c r="G410" s="139"/>
      <c r="H410" s="187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</row>
    <row r="411" ht="15.75" customHeight="1">
      <c r="A411" s="137"/>
      <c r="B411" s="139"/>
      <c r="C411" s="139"/>
      <c r="D411" s="139"/>
      <c r="E411" s="139"/>
      <c r="F411" s="139"/>
      <c r="G411" s="139"/>
      <c r="H411" s="187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39"/>
      <c r="AD411" s="139"/>
      <c r="AE411" s="139"/>
    </row>
    <row r="412" ht="15.75" customHeight="1">
      <c r="A412" s="137"/>
      <c r="B412" s="139"/>
      <c r="C412" s="139"/>
      <c r="D412" s="139"/>
      <c r="E412" s="139"/>
      <c r="F412" s="139"/>
      <c r="G412" s="139"/>
      <c r="H412" s="187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39"/>
      <c r="AD412" s="139"/>
      <c r="AE412" s="139"/>
    </row>
    <row r="413" ht="15.75" customHeight="1">
      <c r="A413" s="137"/>
      <c r="B413" s="139"/>
      <c r="C413" s="139"/>
      <c r="D413" s="139"/>
      <c r="E413" s="139"/>
      <c r="F413" s="139"/>
      <c r="G413" s="139"/>
      <c r="H413" s="187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</row>
    <row r="414" ht="15.75" customHeight="1">
      <c r="A414" s="137"/>
      <c r="B414" s="139"/>
      <c r="C414" s="139"/>
      <c r="D414" s="139"/>
      <c r="E414" s="139"/>
      <c r="F414" s="139"/>
      <c r="G414" s="139"/>
      <c r="H414" s="187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  <c r="AC414" s="139"/>
      <c r="AD414" s="139"/>
      <c r="AE414" s="139"/>
    </row>
    <row r="415" ht="15.75" customHeight="1">
      <c r="A415" s="137"/>
      <c r="B415" s="139"/>
      <c r="C415" s="139"/>
      <c r="D415" s="139"/>
      <c r="E415" s="139"/>
      <c r="F415" s="139"/>
      <c r="G415" s="139"/>
      <c r="H415" s="187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39"/>
      <c r="AD415" s="139"/>
      <c r="AE415" s="139"/>
    </row>
    <row r="416" ht="15.75" customHeight="1">
      <c r="A416" s="137"/>
      <c r="B416" s="139"/>
      <c r="C416" s="139"/>
      <c r="D416" s="139"/>
      <c r="E416" s="139"/>
      <c r="F416" s="139"/>
      <c r="G416" s="139"/>
      <c r="H416" s="187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</row>
    <row r="417" ht="15.75" customHeight="1">
      <c r="A417" s="137"/>
      <c r="B417" s="139"/>
      <c r="C417" s="139"/>
      <c r="D417" s="139"/>
      <c r="E417" s="139"/>
      <c r="F417" s="139"/>
      <c r="G417" s="139"/>
      <c r="H417" s="187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</row>
    <row r="418" ht="15.75" customHeight="1">
      <c r="A418" s="137"/>
      <c r="B418" s="139"/>
      <c r="C418" s="139"/>
      <c r="D418" s="139"/>
      <c r="E418" s="139"/>
      <c r="F418" s="139"/>
      <c r="G418" s="139"/>
      <c r="H418" s="187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139"/>
      <c r="AD418" s="139"/>
      <c r="AE418" s="139"/>
    </row>
    <row r="419" ht="15.75" customHeight="1">
      <c r="A419" s="137"/>
      <c r="B419" s="139"/>
      <c r="C419" s="139"/>
      <c r="D419" s="139"/>
      <c r="E419" s="139"/>
      <c r="F419" s="139"/>
      <c r="G419" s="139"/>
      <c r="H419" s="187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</row>
    <row r="420" ht="15.75" customHeight="1">
      <c r="A420" s="137"/>
      <c r="B420" s="139"/>
      <c r="C420" s="139"/>
      <c r="D420" s="139"/>
      <c r="E420" s="139"/>
      <c r="F420" s="139"/>
      <c r="G420" s="139"/>
      <c r="H420" s="187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39"/>
      <c r="AD420" s="139"/>
      <c r="AE420" s="139"/>
    </row>
    <row r="421" ht="15.75" customHeight="1">
      <c r="A421" s="137"/>
      <c r="B421" s="139"/>
      <c r="C421" s="139"/>
      <c r="D421" s="139"/>
      <c r="E421" s="139"/>
      <c r="F421" s="139"/>
      <c r="G421" s="139"/>
      <c r="H421" s="187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</row>
    <row r="422" ht="15.75" customHeight="1">
      <c r="A422" s="137"/>
      <c r="B422" s="139"/>
      <c r="C422" s="139"/>
      <c r="D422" s="139"/>
      <c r="E422" s="139"/>
      <c r="F422" s="139"/>
      <c r="G422" s="139"/>
      <c r="H422" s="187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39"/>
      <c r="AD422" s="139"/>
      <c r="AE422" s="139"/>
    </row>
    <row r="423" ht="15.75" customHeight="1">
      <c r="A423" s="137"/>
      <c r="B423" s="139"/>
      <c r="C423" s="139"/>
      <c r="D423" s="139"/>
      <c r="E423" s="139"/>
      <c r="F423" s="139"/>
      <c r="G423" s="139"/>
      <c r="H423" s="187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</row>
    <row r="424" ht="15.75" customHeight="1">
      <c r="A424" s="137"/>
      <c r="B424" s="139"/>
      <c r="C424" s="139"/>
      <c r="D424" s="139"/>
      <c r="E424" s="139"/>
      <c r="F424" s="139"/>
      <c r="G424" s="139"/>
      <c r="H424" s="187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39"/>
      <c r="AD424" s="139"/>
      <c r="AE424" s="139"/>
    </row>
    <row r="425" ht="15.75" customHeight="1">
      <c r="A425" s="137"/>
      <c r="B425" s="139"/>
      <c r="C425" s="139"/>
      <c r="D425" s="139"/>
      <c r="E425" s="139"/>
      <c r="F425" s="139"/>
      <c r="G425" s="139"/>
      <c r="H425" s="187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</row>
    <row r="426" ht="15.75" customHeight="1">
      <c r="A426" s="137"/>
      <c r="B426" s="139"/>
      <c r="C426" s="139"/>
      <c r="D426" s="139"/>
      <c r="E426" s="139"/>
      <c r="F426" s="139"/>
      <c r="G426" s="139"/>
      <c r="H426" s="187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39"/>
      <c r="AD426" s="139"/>
      <c r="AE426" s="139"/>
    </row>
    <row r="427" ht="15.75" customHeight="1">
      <c r="A427" s="137"/>
      <c r="B427" s="139"/>
      <c r="C427" s="139"/>
      <c r="D427" s="139"/>
      <c r="E427" s="139"/>
      <c r="F427" s="139"/>
      <c r="G427" s="139"/>
      <c r="H427" s="187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39"/>
      <c r="AE427" s="139"/>
    </row>
    <row r="428" ht="15.75" customHeight="1">
      <c r="A428" s="137"/>
      <c r="B428" s="139"/>
      <c r="C428" s="139"/>
      <c r="D428" s="139"/>
      <c r="E428" s="139"/>
      <c r="F428" s="139"/>
      <c r="G428" s="139"/>
      <c r="H428" s="187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  <c r="AC428" s="139"/>
      <c r="AD428" s="139"/>
      <c r="AE428" s="139"/>
    </row>
    <row r="429" ht="15.75" customHeight="1">
      <c r="A429" s="137"/>
      <c r="B429" s="139"/>
      <c r="C429" s="139"/>
      <c r="D429" s="139"/>
      <c r="E429" s="139"/>
      <c r="F429" s="139"/>
      <c r="G429" s="139"/>
      <c r="H429" s="187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39"/>
      <c r="AD429" s="139"/>
      <c r="AE429" s="139"/>
    </row>
    <row r="430" ht="15.75" customHeight="1">
      <c r="A430" s="137"/>
      <c r="B430" s="139"/>
      <c r="C430" s="139"/>
      <c r="D430" s="139"/>
      <c r="E430" s="139"/>
      <c r="F430" s="139"/>
      <c r="G430" s="139"/>
      <c r="H430" s="187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  <c r="AC430" s="139"/>
      <c r="AD430" s="139"/>
      <c r="AE430" s="139"/>
    </row>
    <row r="431" ht="15.75" customHeight="1">
      <c r="A431" s="137"/>
      <c r="B431" s="139"/>
      <c r="C431" s="139"/>
      <c r="D431" s="139"/>
      <c r="E431" s="139"/>
      <c r="F431" s="139"/>
      <c r="G431" s="139"/>
      <c r="H431" s="187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39"/>
      <c r="AD431" s="139"/>
      <c r="AE431" s="139"/>
    </row>
    <row r="432" ht="15.75" customHeight="1">
      <c r="A432" s="137"/>
      <c r="B432" s="139"/>
      <c r="C432" s="139"/>
      <c r="D432" s="139"/>
      <c r="E432" s="139"/>
      <c r="F432" s="139"/>
      <c r="G432" s="139"/>
      <c r="H432" s="187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  <c r="AC432" s="139"/>
      <c r="AD432" s="139"/>
      <c r="AE432" s="139"/>
    </row>
    <row r="433" ht="15.75" customHeight="1">
      <c r="A433" s="137"/>
      <c r="B433" s="139"/>
      <c r="C433" s="139"/>
      <c r="D433" s="139"/>
      <c r="E433" s="139"/>
      <c r="F433" s="139"/>
      <c r="G433" s="139"/>
      <c r="H433" s="187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39"/>
      <c r="AD433" s="139"/>
      <c r="AE433" s="139"/>
    </row>
    <row r="434" ht="15.75" customHeight="1">
      <c r="A434" s="137"/>
      <c r="B434" s="139"/>
      <c r="C434" s="139"/>
      <c r="D434" s="139"/>
      <c r="E434" s="139"/>
      <c r="F434" s="139"/>
      <c r="G434" s="139"/>
      <c r="H434" s="187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  <c r="AC434" s="139"/>
      <c r="AD434" s="139"/>
      <c r="AE434" s="139"/>
    </row>
    <row r="435" ht="15.75" customHeight="1">
      <c r="A435" s="137"/>
      <c r="B435" s="139"/>
      <c r="C435" s="139"/>
      <c r="D435" s="139"/>
      <c r="E435" s="139"/>
      <c r="F435" s="139"/>
      <c r="G435" s="139"/>
      <c r="H435" s="187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39"/>
      <c r="AD435" s="139"/>
      <c r="AE435" s="139"/>
    </row>
    <row r="436" ht="15.75" customHeight="1">
      <c r="A436" s="137"/>
      <c r="B436" s="139"/>
      <c r="C436" s="139"/>
      <c r="D436" s="139"/>
      <c r="E436" s="139"/>
      <c r="F436" s="139"/>
      <c r="G436" s="139"/>
      <c r="H436" s="187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  <c r="AC436" s="139"/>
      <c r="AD436" s="139"/>
      <c r="AE436" s="139"/>
    </row>
    <row r="437" ht="15.75" customHeight="1">
      <c r="A437" s="137"/>
      <c r="B437" s="139"/>
      <c r="C437" s="139"/>
      <c r="D437" s="139"/>
      <c r="E437" s="139"/>
      <c r="F437" s="139"/>
      <c r="G437" s="139"/>
      <c r="H437" s="187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</row>
    <row r="438" ht="15.75" customHeight="1">
      <c r="A438" s="137"/>
      <c r="B438" s="139"/>
      <c r="C438" s="139"/>
      <c r="D438" s="139"/>
      <c r="E438" s="139"/>
      <c r="F438" s="139"/>
      <c r="G438" s="139"/>
      <c r="H438" s="187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39"/>
      <c r="AD438" s="139"/>
      <c r="AE438" s="139"/>
    </row>
    <row r="439" ht="15.75" customHeight="1">
      <c r="A439" s="137"/>
      <c r="B439" s="139"/>
      <c r="C439" s="139"/>
      <c r="D439" s="139"/>
      <c r="E439" s="139"/>
      <c r="F439" s="139"/>
      <c r="G439" s="139"/>
      <c r="H439" s="187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</row>
    <row r="440" ht="15.75" customHeight="1">
      <c r="A440" s="137"/>
      <c r="B440" s="139"/>
      <c r="C440" s="139"/>
      <c r="D440" s="139"/>
      <c r="E440" s="139"/>
      <c r="F440" s="139"/>
      <c r="G440" s="139"/>
      <c r="H440" s="187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</row>
    <row r="441" ht="15.75" customHeight="1">
      <c r="A441" s="137"/>
      <c r="B441" s="139"/>
      <c r="C441" s="139"/>
      <c r="D441" s="139"/>
      <c r="E441" s="139"/>
      <c r="F441" s="139"/>
      <c r="G441" s="139"/>
      <c r="H441" s="187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</row>
    <row r="442" ht="15.75" customHeight="1">
      <c r="A442" s="137"/>
      <c r="B442" s="139"/>
      <c r="C442" s="139"/>
      <c r="D442" s="139"/>
      <c r="E442" s="139"/>
      <c r="F442" s="139"/>
      <c r="G442" s="139"/>
      <c r="H442" s="187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  <c r="AC442" s="139"/>
      <c r="AD442" s="139"/>
      <c r="AE442" s="139"/>
    </row>
    <row r="443" ht="15.75" customHeight="1">
      <c r="A443" s="137"/>
      <c r="B443" s="139"/>
      <c r="C443" s="139"/>
      <c r="D443" s="139"/>
      <c r="E443" s="139"/>
      <c r="F443" s="139"/>
      <c r="G443" s="139"/>
      <c r="H443" s="187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39"/>
      <c r="AD443" s="139"/>
      <c r="AE443" s="139"/>
    </row>
    <row r="444" ht="15.75" customHeight="1">
      <c r="A444" s="137"/>
      <c r="B444" s="139"/>
      <c r="C444" s="139"/>
      <c r="D444" s="139"/>
      <c r="E444" s="139"/>
      <c r="F444" s="139"/>
      <c r="G444" s="139"/>
      <c r="H444" s="187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  <c r="AC444" s="139"/>
      <c r="AD444" s="139"/>
      <c r="AE444" s="139"/>
    </row>
    <row r="445" ht="15.75" customHeight="1">
      <c r="A445" s="137"/>
      <c r="B445" s="139"/>
      <c r="C445" s="139"/>
      <c r="D445" s="139"/>
      <c r="E445" s="139"/>
      <c r="F445" s="139"/>
      <c r="G445" s="139"/>
      <c r="H445" s="187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39"/>
      <c r="AD445" s="139"/>
      <c r="AE445" s="139"/>
    </row>
    <row r="446" ht="15.75" customHeight="1">
      <c r="A446" s="137"/>
      <c r="B446" s="139"/>
      <c r="C446" s="139"/>
      <c r="D446" s="139"/>
      <c r="E446" s="139"/>
      <c r="F446" s="139"/>
      <c r="G446" s="139"/>
      <c r="H446" s="187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</row>
    <row r="447" ht="15.75" customHeight="1">
      <c r="A447" s="137"/>
      <c r="B447" s="139"/>
      <c r="C447" s="139"/>
      <c r="D447" s="139"/>
      <c r="E447" s="139"/>
      <c r="F447" s="139"/>
      <c r="G447" s="139"/>
      <c r="H447" s="187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</row>
    <row r="448" ht="15.75" customHeight="1">
      <c r="A448" s="137"/>
      <c r="B448" s="139"/>
      <c r="C448" s="139"/>
      <c r="D448" s="139"/>
      <c r="E448" s="139"/>
      <c r="F448" s="139"/>
      <c r="G448" s="139"/>
      <c r="H448" s="187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</row>
    <row r="449" ht="15.75" customHeight="1">
      <c r="A449" s="137"/>
      <c r="B449" s="139"/>
      <c r="C449" s="139"/>
      <c r="D449" s="139"/>
      <c r="E449" s="139"/>
      <c r="F449" s="139"/>
      <c r="G449" s="139"/>
      <c r="H449" s="187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</row>
    <row r="450" ht="15.75" customHeight="1">
      <c r="A450" s="137"/>
      <c r="B450" s="139"/>
      <c r="C450" s="139"/>
      <c r="D450" s="139"/>
      <c r="E450" s="139"/>
      <c r="F450" s="139"/>
      <c r="G450" s="139"/>
      <c r="H450" s="187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39"/>
      <c r="AD450" s="139"/>
      <c r="AE450" s="139"/>
    </row>
    <row r="451" ht="15.75" customHeight="1">
      <c r="A451" s="137"/>
      <c r="B451" s="139"/>
      <c r="C451" s="139"/>
      <c r="D451" s="139"/>
      <c r="E451" s="139"/>
      <c r="F451" s="139"/>
      <c r="G451" s="139"/>
      <c r="H451" s="187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39"/>
      <c r="AD451" s="139"/>
      <c r="AE451" s="139"/>
    </row>
    <row r="452" ht="15.75" customHeight="1">
      <c r="A452" s="137"/>
      <c r="B452" s="139"/>
      <c r="C452" s="139"/>
      <c r="D452" s="139"/>
      <c r="E452" s="139"/>
      <c r="F452" s="139"/>
      <c r="G452" s="139"/>
      <c r="H452" s="187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  <c r="AC452" s="139"/>
      <c r="AD452" s="139"/>
      <c r="AE452" s="139"/>
    </row>
    <row r="453" ht="15.75" customHeight="1">
      <c r="A453" s="137"/>
      <c r="B453" s="139"/>
      <c r="C453" s="139"/>
      <c r="D453" s="139"/>
      <c r="E453" s="139"/>
      <c r="F453" s="139"/>
      <c r="G453" s="139"/>
      <c r="H453" s="187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</row>
    <row r="454" ht="15.75" customHeight="1">
      <c r="A454" s="137"/>
      <c r="B454" s="139"/>
      <c r="C454" s="139"/>
      <c r="D454" s="139"/>
      <c r="E454" s="139"/>
      <c r="F454" s="139"/>
      <c r="G454" s="139"/>
      <c r="H454" s="187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  <c r="AC454" s="139"/>
      <c r="AD454" s="139"/>
      <c r="AE454" s="139"/>
    </row>
    <row r="455" ht="15.75" customHeight="1">
      <c r="A455" s="137"/>
      <c r="B455" s="139"/>
      <c r="C455" s="139"/>
      <c r="D455" s="139"/>
      <c r="E455" s="139"/>
      <c r="F455" s="139"/>
      <c r="G455" s="139"/>
      <c r="H455" s="187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39"/>
      <c r="AD455" s="139"/>
      <c r="AE455" s="139"/>
    </row>
    <row r="456" ht="15.75" customHeight="1">
      <c r="A456" s="137"/>
      <c r="B456" s="139"/>
      <c r="C456" s="139"/>
      <c r="D456" s="139"/>
      <c r="E456" s="139"/>
      <c r="F456" s="139"/>
      <c r="G456" s="139"/>
      <c r="H456" s="187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  <c r="AC456" s="139"/>
      <c r="AD456" s="139"/>
      <c r="AE456" s="139"/>
    </row>
    <row r="457" ht="15.75" customHeight="1">
      <c r="A457" s="137"/>
      <c r="B457" s="139"/>
      <c r="C457" s="139"/>
      <c r="D457" s="139"/>
      <c r="E457" s="139"/>
      <c r="F457" s="139"/>
      <c r="G457" s="139"/>
      <c r="H457" s="187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39"/>
      <c r="AD457" s="139"/>
      <c r="AE457" s="139"/>
    </row>
    <row r="458" ht="15.75" customHeight="1">
      <c r="A458" s="137"/>
      <c r="B458" s="139"/>
      <c r="C458" s="139"/>
      <c r="D458" s="139"/>
      <c r="E458" s="139"/>
      <c r="F458" s="139"/>
      <c r="G458" s="139"/>
      <c r="H458" s="187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39"/>
      <c r="AD458" s="139"/>
      <c r="AE458" s="139"/>
    </row>
    <row r="459" ht="15.75" customHeight="1">
      <c r="A459" s="137"/>
      <c r="B459" s="139"/>
      <c r="C459" s="139"/>
      <c r="D459" s="139"/>
      <c r="E459" s="139"/>
      <c r="F459" s="139"/>
      <c r="G459" s="139"/>
      <c r="H459" s="187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</row>
    <row r="460" ht="15.75" customHeight="1">
      <c r="A460" s="137"/>
      <c r="B460" s="139"/>
      <c r="C460" s="139"/>
      <c r="D460" s="139"/>
      <c r="E460" s="139"/>
      <c r="F460" s="139"/>
      <c r="G460" s="139"/>
      <c r="H460" s="187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  <c r="AC460" s="139"/>
      <c r="AD460" s="139"/>
      <c r="AE460" s="139"/>
    </row>
    <row r="461" ht="15.75" customHeight="1">
      <c r="A461" s="137"/>
      <c r="B461" s="139"/>
      <c r="C461" s="139"/>
      <c r="D461" s="139"/>
      <c r="E461" s="139"/>
      <c r="F461" s="139"/>
      <c r="G461" s="139"/>
      <c r="H461" s="187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</row>
    <row r="462" ht="15.75" customHeight="1">
      <c r="A462" s="137"/>
      <c r="B462" s="139"/>
      <c r="C462" s="139"/>
      <c r="D462" s="139"/>
      <c r="E462" s="139"/>
      <c r="F462" s="139"/>
      <c r="G462" s="139"/>
      <c r="H462" s="187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</row>
    <row r="463" ht="15.75" customHeight="1">
      <c r="A463" s="137"/>
      <c r="B463" s="139"/>
      <c r="C463" s="139"/>
      <c r="D463" s="139"/>
      <c r="E463" s="139"/>
      <c r="F463" s="139"/>
      <c r="G463" s="139"/>
      <c r="H463" s="187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</row>
    <row r="464" ht="15.75" customHeight="1">
      <c r="A464" s="137"/>
      <c r="B464" s="139"/>
      <c r="C464" s="139"/>
      <c r="D464" s="139"/>
      <c r="E464" s="139"/>
      <c r="F464" s="139"/>
      <c r="G464" s="139"/>
      <c r="H464" s="187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  <c r="AC464" s="139"/>
      <c r="AD464" s="139"/>
      <c r="AE464" s="139"/>
    </row>
    <row r="465" ht="15.75" customHeight="1">
      <c r="A465" s="137"/>
      <c r="B465" s="139"/>
      <c r="C465" s="139"/>
      <c r="D465" s="139"/>
      <c r="E465" s="139"/>
      <c r="F465" s="139"/>
      <c r="G465" s="139"/>
      <c r="H465" s="187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39"/>
      <c r="AD465" s="139"/>
      <c r="AE465" s="139"/>
    </row>
    <row r="466" ht="15.75" customHeight="1">
      <c r="A466" s="137"/>
      <c r="B466" s="139"/>
      <c r="C466" s="139"/>
      <c r="D466" s="139"/>
      <c r="E466" s="139"/>
      <c r="F466" s="139"/>
      <c r="G466" s="139"/>
      <c r="H466" s="187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  <c r="AC466" s="139"/>
      <c r="AD466" s="139"/>
      <c r="AE466" s="139"/>
    </row>
    <row r="467" ht="15.75" customHeight="1">
      <c r="A467" s="137"/>
      <c r="B467" s="139"/>
      <c r="C467" s="139"/>
      <c r="D467" s="139"/>
      <c r="E467" s="139"/>
      <c r="F467" s="139"/>
      <c r="G467" s="139"/>
      <c r="H467" s="187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39"/>
      <c r="AD467" s="139"/>
      <c r="AE467" s="139"/>
    </row>
    <row r="468" ht="15.75" customHeight="1">
      <c r="A468" s="137"/>
      <c r="B468" s="139"/>
      <c r="C468" s="139"/>
      <c r="D468" s="139"/>
      <c r="E468" s="139"/>
      <c r="F468" s="139"/>
      <c r="G468" s="139"/>
      <c r="H468" s="187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39"/>
      <c r="AD468" s="139"/>
      <c r="AE468" s="139"/>
    </row>
    <row r="469" ht="15.75" customHeight="1">
      <c r="A469" s="137"/>
      <c r="B469" s="139"/>
      <c r="C469" s="139"/>
      <c r="D469" s="139"/>
      <c r="E469" s="139"/>
      <c r="F469" s="139"/>
      <c r="G469" s="139"/>
      <c r="H469" s="187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</row>
    <row r="470" ht="15.75" customHeight="1">
      <c r="A470" s="137"/>
      <c r="B470" s="139"/>
      <c r="C470" s="139"/>
      <c r="D470" s="139"/>
      <c r="E470" s="139"/>
      <c r="F470" s="139"/>
      <c r="G470" s="139"/>
      <c r="H470" s="187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  <c r="AC470" s="139"/>
      <c r="AD470" s="139"/>
      <c r="AE470" s="139"/>
    </row>
    <row r="471" ht="15.75" customHeight="1">
      <c r="A471" s="137"/>
      <c r="B471" s="139"/>
      <c r="C471" s="139"/>
      <c r="D471" s="139"/>
      <c r="E471" s="139"/>
      <c r="F471" s="139"/>
      <c r="G471" s="139"/>
      <c r="H471" s="187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</row>
    <row r="472" ht="15.75" customHeight="1">
      <c r="A472" s="137"/>
      <c r="B472" s="139"/>
      <c r="C472" s="139"/>
      <c r="D472" s="139"/>
      <c r="E472" s="139"/>
      <c r="F472" s="139"/>
      <c r="G472" s="139"/>
      <c r="H472" s="187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  <c r="AC472" s="139"/>
      <c r="AD472" s="139"/>
      <c r="AE472" s="139"/>
    </row>
    <row r="473" ht="15.75" customHeight="1">
      <c r="A473" s="137"/>
      <c r="B473" s="139"/>
      <c r="C473" s="139"/>
      <c r="D473" s="139"/>
      <c r="E473" s="139"/>
      <c r="F473" s="139"/>
      <c r="G473" s="139"/>
      <c r="H473" s="187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/>
      <c r="AE473" s="139"/>
    </row>
    <row r="474" ht="15.75" customHeight="1">
      <c r="A474" s="137"/>
      <c r="B474" s="139"/>
      <c r="C474" s="139"/>
      <c r="D474" s="139"/>
      <c r="E474" s="139"/>
      <c r="F474" s="139"/>
      <c r="G474" s="139"/>
      <c r="H474" s="187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  <c r="AC474" s="139"/>
      <c r="AD474" s="139"/>
      <c r="AE474" s="139"/>
    </row>
    <row r="475" ht="15.75" customHeight="1">
      <c r="A475" s="137"/>
      <c r="B475" s="139"/>
      <c r="C475" s="139"/>
      <c r="D475" s="139"/>
      <c r="E475" s="139"/>
      <c r="F475" s="139"/>
      <c r="G475" s="139"/>
      <c r="H475" s="187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</row>
    <row r="476" ht="15.75" customHeight="1">
      <c r="A476" s="137"/>
      <c r="B476" s="139"/>
      <c r="C476" s="139"/>
      <c r="D476" s="139"/>
      <c r="E476" s="139"/>
      <c r="F476" s="139"/>
      <c r="G476" s="139"/>
      <c r="H476" s="187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</row>
    <row r="477" ht="15.75" customHeight="1">
      <c r="A477" s="137"/>
      <c r="B477" s="139"/>
      <c r="C477" s="139"/>
      <c r="D477" s="139"/>
      <c r="E477" s="139"/>
      <c r="F477" s="139"/>
      <c r="G477" s="139"/>
      <c r="H477" s="187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</row>
    <row r="478" ht="15.75" customHeight="1">
      <c r="A478" s="137"/>
      <c r="B478" s="139"/>
      <c r="C478" s="139"/>
      <c r="D478" s="139"/>
      <c r="E478" s="139"/>
      <c r="F478" s="139"/>
      <c r="G478" s="139"/>
      <c r="H478" s="187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</row>
    <row r="479" ht="15.75" customHeight="1">
      <c r="A479" s="137"/>
      <c r="B479" s="139"/>
      <c r="C479" s="139"/>
      <c r="D479" s="139"/>
      <c r="E479" s="139"/>
      <c r="F479" s="139"/>
      <c r="G479" s="139"/>
      <c r="H479" s="187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</row>
    <row r="480" ht="15.75" customHeight="1">
      <c r="A480" s="137"/>
      <c r="B480" s="139"/>
      <c r="C480" s="139"/>
      <c r="D480" s="139"/>
      <c r="E480" s="139"/>
      <c r="F480" s="139"/>
      <c r="G480" s="139"/>
      <c r="H480" s="187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</row>
    <row r="481" ht="15.75" customHeight="1">
      <c r="A481" s="137"/>
      <c r="B481" s="139"/>
      <c r="C481" s="139"/>
      <c r="D481" s="139"/>
      <c r="E481" s="139"/>
      <c r="F481" s="139"/>
      <c r="G481" s="139"/>
      <c r="H481" s="187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</row>
    <row r="482" ht="15.75" customHeight="1">
      <c r="A482" s="137"/>
      <c r="B482" s="139"/>
      <c r="C482" s="139"/>
      <c r="D482" s="139"/>
      <c r="E482" s="139"/>
      <c r="F482" s="139"/>
      <c r="G482" s="139"/>
      <c r="H482" s="187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</row>
    <row r="483" ht="15.75" customHeight="1">
      <c r="A483" s="137"/>
      <c r="B483" s="139"/>
      <c r="C483" s="139"/>
      <c r="D483" s="139"/>
      <c r="E483" s="139"/>
      <c r="F483" s="139"/>
      <c r="G483" s="139"/>
      <c r="H483" s="187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</row>
    <row r="484" ht="15.75" customHeight="1">
      <c r="A484" s="137"/>
      <c r="B484" s="139"/>
      <c r="C484" s="139"/>
      <c r="D484" s="139"/>
      <c r="E484" s="139"/>
      <c r="F484" s="139"/>
      <c r="G484" s="139"/>
      <c r="H484" s="187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</row>
    <row r="485" ht="15.75" customHeight="1">
      <c r="A485" s="137"/>
      <c r="B485" s="139"/>
      <c r="C485" s="139"/>
      <c r="D485" s="139"/>
      <c r="E485" s="139"/>
      <c r="F485" s="139"/>
      <c r="G485" s="139"/>
      <c r="H485" s="187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</row>
    <row r="486" ht="15.75" customHeight="1">
      <c r="A486" s="137"/>
      <c r="B486" s="139"/>
      <c r="C486" s="139"/>
      <c r="D486" s="139"/>
      <c r="E486" s="139"/>
      <c r="F486" s="139"/>
      <c r="G486" s="139"/>
      <c r="H486" s="187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</row>
    <row r="487" ht="15.75" customHeight="1">
      <c r="A487" s="137"/>
      <c r="B487" s="139"/>
      <c r="C487" s="139"/>
      <c r="D487" s="139"/>
      <c r="E487" s="139"/>
      <c r="F487" s="139"/>
      <c r="G487" s="139"/>
      <c r="H487" s="187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</row>
    <row r="488" ht="15.75" customHeight="1">
      <c r="A488" s="137"/>
      <c r="B488" s="139"/>
      <c r="C488" s="139"/>
      <c r="D488" s="139"/>
      <c r="E488" s="139"/>
      <c r="F488" s="139"/>
      <c r="G488" s="139"/>
      <c r="H488" s="187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</row>
    <row r="489" ht="15.75" customHeight="1">
      <c r="A489" s="137"/>
      <c r="B489" s="139"/>
      <c r="C489" s="139"/>
      <c r="D489" s="139"/>
      <c r="E489" s="139"/>
      <c r="F489" s="139"/>
      <c r="G489" s="139"/>
      <c r="H489" s="187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</row>
    <row r="490" ht="15.75" customHeight="1">
      <c r="A490" s="137"/>
      <c r="B490" s="139"/>
      <c r="C490" s="139"/>
      <c r="D490" s="139"/>
      <c r="E490" s="139"/>
      <c r="F490" s="139"/>
      <c r="G490" s="139"/>
      <c r="H490" s="187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</row>
    <row r="491" ht="15.75" customHeight="1">
      <c r="A491" s="137"/>
      <c r="B491" s="139"/>
      <c r="C491" s="139"/>
      <c r="D491" s="139"/>
      <c r="E491" s="139"/>
      <c r="F491" s="139"/>
      <c r="G491" s="139"/>
      <c r="H491" s="187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</row>
    <row r="492" ht="15.75" customHeight="1">
      <c r="A492" s="137"/>
      <c r="B492" s="139"/>
      <c r="C492" s="139"/>
      <c r="D492" s="139"/>
      <c r="E492" s="139"/>
      <c r="F492" s="139"/>
      <c r="G492" s="139"/>
      <c r="H492" s="187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</row>
    <row r="493" ht="15.75" customHeight="1">
      <c r="A493" s="137"/>
      <c r="B493" s="139"/>
      <c r="C493" s="139"/>
      <c r="D493" s="139"/>
      <c r="E493" s="139"/>
      <c r="F493" s="139"/>
      <c r="G493" s="139"/>
      <c r="H493" s="187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</row>
    <row r="494" ht="15.75" customHeight="1">
      <c r="A494" s="137"/>
      <c r="B494" s="139"/>
      <c r="C494" s="139"/>
      <c r="D494" s="139"/>
      <c r="E494" s="139"/>
      <c r="F494" s="139"/>
      <c r="G494" s="139"/>
      <c r="H494" s="187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</row>
    <row r="495" ht="15.75" customHeight="1">
      <c r="A495" s="137"/>
      <c r="B495" s="139"/>
      <c r="C495" s="139"/>
      <c r="D495" s="139"/>
      <c r="E495" s="139"/>
      <c r="F495" s="139"/>
      <c r="G495" s="139"/>
      <c r="H495" s="187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</row>
    <row r="496" ht="15.75" customHeight="1">
      <c r="A496" s="137"/>
      <c r="B496" s="139"/>
      <c r="C496" s="139"/>
      <c r="D496" s="139"/>
      <c r="E496" s="139"/>
      <c r="F496" s="139"/>
      <c r="G496" s="139"/>
      <c r="H496" s="187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</row>
    <row r="497" ht="15.75" customHeight="1">
      <c r="A497" s="137"/>
      <c r="B497" s="139"/>
      <c r="C497" s="139"/>
      <c r="D497" s="139"/>
      <c r="E497" s="139"/>
      <c r="F497" s="139"/>
      <c r="G497" s="139"/>
      <c r="H497" s="187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</row>
    <row r="498" ht="15.75" customHeight="1">
      <c r="A498" s="137"/>
      <c r="B498" s="139"/>
      <c r="C498" s="139"/>
      <c r="D498" s="139"/>
      <c r="E498" s="139"/>
      <c r="F498" s="139"/>
      <c r="G498" s="139"/>
      <c r="H498" s="187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</row>
    <row r="499" ht="15.75" customHeight="1">
      <c r="A499" s="137"/>
      <c r="B499" s="139"/>
      <c r="C499" s="139"/>
      <c r="D499" s="139"/>
      <c r="E499" s="139"/>
      <c r="F499" s="139"/>
      <c r="G499" s="139"/>
      <c r="H499" s="187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</row>
    <row r="500" ht="15.75" customHeight="1">
      <c r="A500" s="137"/>
      <c r="B500" s="139"/>
      <c r="C500" s="139"/>
      <c r="D500" s="139"/>
      <c r="E500" s="139"/>
      <c r="F500" s="139"/>
      <c r="G500" s="139"/>
      <c r="H500" s="187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</row>
    <row r="501" ht="15.75" customHeight="1">
      <c r="A501" s="137"/>
      <c r="B501" s="139"/>
      <c r="C501" s="139"/>
      <c r="D501" s="139"/>
      <c r="E501" s="139"/>
      <c r="F501" s="139"/>
      <c r="G501" s="139"/>
      <c r="H501" s="187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</row>
    <row r="502" ht="15.75" customHeight="1">
      <c r="A502" s="137"/>
      <c r="B502" s="139"/>
      <c r="C502" s="139"/>
      <c r="D502" s="139"/>
      <c r="E502" s="139"/>
      <c r="F502" s="139"/>
      <c r="G502" s="139"/>
      <c r="H502" s="187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</row>
    <row r="503" ht="15.75" customHeight="1">
      <c r="A503" s="137"/>
      <c r="B503" s="139"/>
      <c r="C503" s="139"/>
      <c r="D503" s="139"/>
      <c r="E503" s="139"/>
      <c r="F503" s="139"/>
      <c r="G503" s="139"/>
      <c r="H503" s="187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</row>
    <row r="504" ht="15.75" customHeight="1">
      <c r="A504" s="137"/>
      <c r="B504" s="139"/>
      <c r="C504" s="139"/>
      <c r="D504" s="139"/>
      <c r="E504" s="139"/>
      <c r="F504" s="139"/>
      <c r="G504" s="139"/>
      <c r="H504" s="187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139"/>
      <c r="AE504" s="139"/>
    </row>
    <row r="505" ht="15.75" customHeight="1">
      <c r="A505" s="137"/>
      <c r="B505" s="139"/>
      <c r="C505" s="139"/>
      <c r="D505" s="139"/>
      <c r="E505" s="139"/>
      <c r="F505" s="139"/>
      <c r="G505" s="139"/>
      <c r="H505" s="187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</row>
    <row r="506" ht="15.75" customHeight="1">
      <c r="A506" s="137"/>
      <c r="B506" s="139"/>
      <c r="C506" s="139"/>
      <c r="D506" s="139"/>
      <c r="E506" s="139"/>
      <c r="F506" s="139"/>
      <c r="G506" s="139"/>
      <c r="H506" s="187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39"/>
      <c r="AD506" s="139"/>
      <c r="AE506" s="139"/>
    </row>
    <row r="507" ht="15.75" customHeight="1">
      <c r="A507" s="137"/>
      <c r="B507" s="139"/>
      <c r="C507" s="139"/>
      <c r="D507" s="139"/>
      <c r="E507" s="139"/>
      <c r="F507" s="139"/>
      <c r="G507" s="139"/>
      <c r="H507" s="187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</row>
    <row r="508" ht="15.75" customHeight="1">
      <c r="A508" s="137"/>
      <c r="B508" s="139"/>
      <c r="C508" s="139"/>
      <c r="D508" s="139"/>
      <c r="E508" s="139"/>
      <c r="F508" s="139"/>
      <c r="G508" s="139"/>
      <c r="H508" s="187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39"/>
      <c r="AD508" s="139"/>
      <c r="AE508" s="139"/>
    </row>
    <row r="509" ht="15.75" customHeight="1">
      <c r="A509" s="137"/>
      <c r="B509" s="139"/>
      <c r="C509" s="139"/>
      <c r="D509" s="139"/>
      <c r="E509" s="139"/>
      <c r="F509" s="139"/>
      <c r="G509" s="139"/>
      <c r="H509" s="187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39"/>
      <c r="AD509" s="139"/>
      <c r="AE509" s="139"/>
    </row>
    <row r="510" ht="15.75" customHeight="1">
      <c r="A510" s="137"/>
      <c r="B510" s="139"/>
      <c r="C510" s="139"/>
      <c r="D510" s="139"/>
      <c r="E510" s="139"/>
      <c r="F510" s="139"/>
      <c r="G510" s="139"/>
      <c r="H510" s="187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39"/>
      <c r="AD510" s="139"/>
      <c r="AE510" s="139"/>
    </row>
    <row r="511" ht="15.75" customHeight="1">
      <c r="A511" s="137"/>
      <c r="B511" s="139"/>
      <c r="C511" s="139"/>
      <c r="D511" s="139"/>
      <c r="E511" s="139"/>
      <c r="F511" s="139"/>
      <c r="G511" s="139"/>
      <c r="H511" s="187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</row>
    <row r="512" ht="15.75" customHeight="1">
      <c r="A512" s="137"/>
      <c r="B512" s="139"/>
      <c r="C512" s="139"/>
      <c r="D512" s="139"/>
      <c r="E512" s="139"/>
      <c r="F512" s="139"/>
      <c r="G512" s="139"/>
      <c r="H512" s="187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39"/>
      <c r="AD512" s="139"/>
      <c r="AE512" s="139"/>
    </row>
    <row r="513" ht="15.75" customHeight="1">
      <c r="A513" s="137"/>
      <c r="B513" s="139"/>
      <c r="C513" s="139"/>
      <c r="D513" s="139"/>
      <c r="E513" s="139"/>
      <c r="F513" s="139"/>
      <c r="G513" s="139"/>
      <c r="H513" s="187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</row>
    <row r="514" ht="15.75" customHeight="1">
      <c r="A514" s="137"/>
      <c r="B514" s="139"/>
      <c r="C514" s="139"/>
      <c r="D514" s="139"/>
      <c r="E514" s="139"/>
      <c r="F514" s="139"/>
      <c r="G514" s="139"/>
      <c r="H514" s="187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39"/>
      <c r="AD514" s="139"/>
      <c r="AE514" s="139"/>
    </row>
    <row r="515" ht="15.75" customHeight="1">
      <c r="A515" s="137"/>
      <c r="B515" s="139"/>
      <c r="C515" s="139"/>
      <c r="D515" s="139"/>
      <c r="E515" s="139"/>
      <c r="F515" s="139"/>
      <c r="G515" s="139"/>
      <c r="H515" s="187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39"/>
      <c r="AD515" s="139"/>
      <c r="AE515" s="139"/>
    </row>
    <row r="516" ht="15.75" customHeight="1">
      <c r="A516" s="137"/>
      <c r="B516" s="139"/>
      <c r="C516" s="139"/>
      <c r="D516" s="139"/>
      <c r="E516" s="139"/>
      <c r="F516" s="139"/>
      <c r="G516" s="139"/>
      <c r="H516" s="187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  <c r="AB516" s="139"/>
      <c r="AC516" s="139"/>
      <c r="AD516" s="139"/>
      <c r="AE516" s="139"/>
    </row>
    <row r="517" ht="15.75" customHeight="1">
      <c r="A517" s="137"/>
      <c r="B517" s="139"/>
      <c r="C517" s="139"/>
      <c r="D517" s="139"/>
      <c r="E517" s="139"/>
      <c r="F517" s="139"/>
      <c r="G517" s="139"/>
      <c r="H517" s="187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39"/>
      <c r="AD517" s="139"/>
      <c r="AE517" s="139"/>
    </row>
    <row r="518" ht="15.75" customHeight="1">
      <c r="A518" s="137"/>
      <c r="B518" s="139"/>
      <c r="C518" s="139"/>
      <c r="D518" s="139"/>
      <c r="E518" s="139"/>
      <c r="F518" s="139"/>
      <c r="G518" s="139"/>
      <c r="H518" s="187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39"/>
      <c r="AD518" s="139"/>
      <c r="AE518" s="139"/>
    </row>
    <row r="519" ht="15.75" customHeight="1">
      <c r="A519" s="137"/>
      <c r="B519" s="139"/>
      <c r="C519" s="139"/>
      <c r="D519" s="139"/>
      <c r="E519" s="139"/>
      <c r="F519" s="139"/>
      <c r="G519" s="139"/>
      <c r="H519" s="187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39"/>
      <c r="AD519" s="139"/>
      <c r="AE519" s="139"/>
    </row>
    <row r="520" ht="15.75" customHeight="1">
      <c r="A520" s="137"/>
      <c r="B520" s="139"/>
      <c r="C520" s="139"/>
      <c r="D520" s="139"/>
      <c r="E520" s="139"/>
      <c r="F520" s="139"/>
      <c r="G520" s="139"/>
      <c r="H520" s="187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  <c r="AC520" s="139"/>
      <c r="AD520" s="139"/>
      <c r="AE520" s="139"/>
    </row>
    <row r="521" ht="15.75" customHeight="1">
      <c r="A521" s="137"/>
      <c r="B521" s="139"/>
      <c r="C521" s="139"/>
      <c r="D521" s="139"/>
      <c r="E521" s="139"/>
      <c r="F521" s="139"/>
      <c r="G521" s="139"/>
      <c r="H521" s="187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39"/>
      <c r="AD521" s="139"/>
      <c r="AE521" s="139"/>
    </row>
    <row r="522" ht="15.75" customHeight="1">
      <c r="A522" s="137"/>
      <c r="B522" s="139"/>
      <c r="C522" s="139"/>
      <c r="D522" s="139"/>
      <c r="E522" s="139"/>
      <c r="F522" s="139"/>
      <c r="G522" s="139"/>
      <c r="H522" s="187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  <c r="AC522" s="139"/>
      <c r="AD522" s="139"/>
      <c r="AE522" s="139"/>
    </row>
    <row r="523" ht="15.75" customHeight="1">
      <c r="A523" s="137"/>
      <c r="B523" s="139"/>
      <c r="C523" s="139"/>
      <c r="D523" s="139"/>
      <c r="E523" s="139"/>
      <c r="F523" s="139"/>
      <c r="G523" s="139"/>
      <c r="H523" s="187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39"/>
      <c r="AD523" s="139"/>
      <c r="AE523" s="139"/>
    </row>
    <row r="524" ht="15.75" customHeight="1">
      <c r="A524" s="137"/>
      <c r="B524" s="139"/>
      <c r="C524" s="139"/>
      <c r="D524" s="139"/>
      <c r="E524" s="139"/>
      <c r="F524" s="139"/>
      <c r="G524" s="139"/>
      <c r="H524" s="187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  <c r="AC524" s="139"/>
      <c r="AD524" s="139"/>
      <c r="AE524" s="139"/>
    </row>
    <row r="525" ht="15.75" customHeight="1">
      <c r="A525" s="137"/>
      <c r="B525" s="139"/>
      <c r="C525" s="139"/>
      <c r="D525" s="139"/>
      <c r="E525" s="139"/>
      <c r="F525" s="139"/>
      <c r="G525" s="139"/>
      <c r="H525" s="187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</row>
    <row r="526" ht="15.75" customHeight="1">
      <c r="A526" s="137"/>
      <c r="B526" s="139"/>
      <c r="C526" s="139"/>
      <c r="D526" s="139"/>
      <c r="E526" s="139"/>
      <c r="F526" s="139"/>
      <c r="G526" s="139"/>
      <c r="H526" s="187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  <c r="AC526" s="139"/>
      <c r="AD526" s="139"/>
      <c r="AE526" s="139"/>
    </row>
    <row r="527" ht="15.75" customHeight="1">
      <c r="A527" s="137"/>
      <c r="B527" s="139"/>
      <c r="C527" s="139"/>
      <c r="D527" s="139"/>
      <c r="E527" s="139"/>
      <c r="F527" s="139"/>
      <c r="G527" s="139"/>
      <c r="H527" s="187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39"/>
      <c r="AD527" s="139"/>
      <c r="AE527" s="139"/>
    </row>
    <row r="528" ht="15.75" customHeight="1">
      <c r="A528" s="137"/>
      <c r="B528" s="139"/>
      <c r="C528" s="139"/>
      <c r="D528" s="139"/>
      <c r="E528" s="139"/>
      <c r="F528" s="139"/>
      <c r="G528" s="139"/>
      <c r="H528" s="187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  <c r="AB528" s="139"/>
      <c r="AC528" s="139"/>
      <c r="AD528" s="139"/>
      <c r="AE528" s="139"/>
    </row>
    <row r="529" ht="15.75" customHeight="1">
      <c r="A529" s="137"/>
      <c r="B529" s="139"/>
      <c r="C529" s="139"/>
      <c r="D529" s="139"/>
      <c r="E529" s="139"/>
      <c r="F529" s="139"/>
      <c r="G529" s="139"/>
      <c r="H529" s="187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  <c r="AC529" s="139"/>
      <c r="AD529" s="139"/>
      <c r="AE529" s="139"/>
    </row>
    <row r="530" ht="15.75" customHeight="1">
      <c r="A530" s="137"/>
      <c r="B530" s="139"/>
      <c r="C530" s="139"/>
      <c r="D530" s="139"/>
      <c r="E530" s="139"/>
      <c r="F530" s="139"/>
      <c r="G530" s="139"/>
      <c r="H530" s="187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  <c r="AC530" s="139"/>
      <c r="AD530" s="139"/>
      <c r="AE530" s="139"/>
    </row>
    <row r="531" ht="15.75" customHeight="1">
      <c r="A531" s="137"/>
      <c r="B531" s="139"/>
      <c r="C531" s="139"/>
      <c r="D531" s="139"/>
      <c r="E531" s="139"/>
      <c r="F531" s="139"/>
      <c r="G531" s="139"/>
      <c r="H531" s="187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39"/>
      <c r="AD531" s="139"/>
      <c r="AE531" s="139"/>
    </row>
    <row r="532" ht="15.75" customHeight="1">
      <c r="A532" s="137"/>
      <c r="B532" s="139"/>
      <c r="C532" s="139"/>
      <c r="D532" s="139"/>
      <c r="E532" s="139"/>
      <c r="F532" s="139"/>
      <c r="G532" s="139"/>
      <c r="H532" s="187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  <c r="AC532" s="139"/>
      <c r="AD532" s="139"/>
      <c r="AE532" s="139"/>
    </row>
    <row r="533" ht="15.75" customHeight="1">
      <c r="A533" s="137"/>
      <c r="B533" s="139"/>
      <c r="C533" s="139"/>
      <c r="D533" s="139"/>
      <c r="E533" s="139"/>
      <c r="F533" s="139"/>
      <c r="G533" s="139"/>
      <c r="H533" s="187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39"/>
      <c r="AD533" s="139"/>
      <c r="AE533" s="139"/>
    </row>
    <row r="534" ht="15.75" customHeight="1">
      <c r="A534" s="137"/>
      <c r="B534" s="139"/>
      <c r="C534" s="139"/>
      <c r="D534" s="139"/>
      <c r="E534" s="139"/>
      <c r="F534" s="139"/>
      <c r="G534" s="139"/>
      <c r="H534" s="187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  <c r="AC534" s="139"/>
      <c r="AD534" s="139"/>
      <c r="AE534" s="139"/>
    </row>
    <row r="535" ht="15.75" customHeight="1">
      <c r="A535" s="137"/>
      <c r="B535" s="139"/>
      <c r="C535" s="139"/>
      <c r="D535" s="139"/>
      <c r="E535" s="139"/>
      <c r="F535" s="139"/>
      <c r="G535" s="139"/>
      <c r="H535" s="187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39"/>
      <c r="AD535" s="139"/>
      <c r="AE535" s="139"/>
    </row>
    <row r="536" ht="15.75" customHeight="1">
      <c r="A536" s="137"/>
      <c r="B536" s="139"/>
      <c r="C536" s="139"/>
      <c r="D536" s="139"/>
      <c r="E536" s="139"/>
      <c r="F536" s="139"/>
      <c r="G536" s="139"/>
      <c r="H536" s="187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  <c r="AC536" s="139"/>
      <c r="AD536" s="139"/>
      <c r="AE536" s="139"/>
    </row>
    <row r="537" ht="15.75" customHeight="1">
      <c r="A537" s="137"/>
      <c r="B537" s="139"/>
      <c r="C537" s="139"/>
      <c r="D537" s="139"/>
      <c r="E537" s="139"/>
      <c r="F537" s="139"/>
      <c r="G537" s="139"/>
      <c r="H537" s="187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39"/>
      <c r="AD537" s="139"/>
      <c r="AE537" s="139"/>
    </row>
    <row r="538" ht="15.75" customHeight="1">
      <c r="A538" s="137"/>
      <c r="B538" s="139"/>
      <c r="C538" s="139"/>
      <c r="D538" s="139"/>
      <c r="E538" s="139"/>
      <c r="F538" s="139"/>
      <c r="G538" s="139"/>
      <c r="H538" s="187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  <c r="AC538" s="139"/>
      <c r="AD538" s="139"/>
      <c r="AE538" s="139"/>
    </row>
    <row r="539" ht="15.75" customHeight="1">
      <c r="A539" s="137"/>
      <c r="B539" s="139"/>
      <c r="C539" s="139"/>
      <c r="D539" s="139"/>
      <c r="E539" s="139"/>
      <c r="F539" s="139"/>
      <c r="G539" s="139"/>
      <c r="H539" s="187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39"/>
      <c r="AD539" s="139"/>
      <c r="AE539" s="139"/>
    </row>
    <row r="540" ht="15.75" customHeight="1">
      <c r="A540" s="137"/>
      <c r="B540" s="139"/>
      <c r="C540" s="139"/>
      <c r="D540" s="139"/>
      <c r="E540" s="139"/>
      <c r="F540" s="139"/>
      <c r="G540" s="139"/>
      <c r="H540" s="187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39"/>
      <c r="AD540" s="139"/>
      <c r="AE540" s="139"/>
    </row>
    <row r="541" ht="15.75" customHeight="1">
      <c r="A541" s="137"/>
      <c r="B541" s="139"/>
      <c r="C541" s="139"/>
      <c r="D541" s="139"/>
      <c r="E541" s="139"/>
      <c r="F541" s="139"/>
      <c r="G541" s="139"/>
      <c r="H541" s="187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39"/>
      <c r="AD541" s="139"/>
      <c r="AE541" s="139"/>
    </row>
    <row r="542" ht="15.75" customHeight="1">
      <c r="A542" s="137"/>
      <c r="B542" s="139"/>
      <c r="C542" s="139"/>
      <c r="D542" s="139"/>
      <c r="E542" s="139"/>
      <c r="F542" s="139"/>
      <c r="G542" s="139"/>
      <c r="H542" s="187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  <c r="AC542" s="139"/>
      <c r="AD542" s="139"/>
      <c r="AE542" s="139"/>
    </row>
    <row r="543" ht="15.75" customHeight="1">
      <c r="A543" s="137"/>
      <c r="B543" s="139"/>
      <c r="C543" s="139"/>
      <c r="D543" s="139"/>
      <c r="E543" s="139"/>
      <c r="F543" s="139"/>
      <c r="G543" s="139"/>
      <c r="H543" s="187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39"/>
      <c r="AD543" s="139"/>
      <c r="AE543" s="139"/>
    </row>
    <row r="544" ht="15.75" customHeight="1">
      <c r="A544" s="137"/>
      <c r="B544" s="139"/>
      <c r="C544" s="139"/>
      <c r="D544" s="139"/>
      <c r="E544" s="139"/>
      <c r="F544" s="139"/>
      <c r="G544" s="139"/>
      <c r="H544" s="187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  <c r="AC544" s="139"/>
      <c r="AD544" s="139"/>
      <c r="AE544" s="139"/>
    </row>
    <row r="545" ht="15.75" customHeight="1">
      <c r="A545" s="137"/>
      <c r="B545" s="139"/>
      <c r="C545" s="139"/>
      <c r="D545" s="139"/>
      <c r="E545" s="139"/>
      <c r="F545" s="139"/>
      <c r="G545" s="139"/>
      <c r="H545" s="187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39"/>
      <c r="AD545" s="139"/>
      <c r="AE545" s="139"/>
    </row>
    <row r="546" ht="15.75" customHeight="1">
      <c r="A546" s="137"/>
      <c r="B546" s="139"/>
      <c r="C546" s="139"/>
      <c r="D546" s="139"/>
      <c r="E546" s="139"/>
      <c r="F546" s="139"/>
      <c r="G546" s="139"/>
      <c r="H546" s="187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39"/>
      <c r="AD546" s="139"/>
      <c r="AE546" s="139"/>
    </row>
    <row r="547" ht="15.75" customHeight="1">
      <c r="A547" s="137"/>
      <c r="B547" s="139"/>
      <c r="C547" s="139"/>
      <c r="D547" s="139"/>
      <c r="E547" s="139"/>
      <c r="F547" s="139"/>
      <c r="G547" s="139"/>
      <c r="H547" s="187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</row>
    <row r="548" ht="15.75" customHeight="1">
      <c r="A548" s="137"/>
      <c r="B548" s="139"/>
      <c r="C548" s="139"/>
      <c r="D548" s="139"/>
      <c r="E548" s="139"/>
      <c r="F548" s="139"/>
      <c r="G548" s="139"/>
      <c r="H548" s="187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  <c r="AC548" s="139"/>
      <c r="AD548" s="139"/>
      <c r="AE548" s="139"/>
    </row>
    <row r="549" ht="15.75" customHeight="1">
      <c r="A549" s="137"/>
      <c r="B549" s="139"/>
      <c r="C549" s="139"/>
      <c r="D549" s="139"/>
      <c r="E549" s="139"/>
      <c r="F549" s="139"/>
      <c r="G549" s="139"/>
      <c r="H549" s="187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39"/>
      <c r="AD549" s="139"/>
      <c r="AE549" s="139"/>
    </row>
    <row r="550" ht="15.75" customHeight="1">
      <c r="A550" s="137"/>
      <c r="B550" s="139"/>
      <c r="C550" s="139"/>
      <c r="D550" s="139"/>
      <c r="E550" s="139"/>
      <c r="F550" s="139"/>
      <c r="G550" s="139"/>
      <c r="H550" s="187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  <c r="AC550" s="139"/>
      <c r="AD550" s="139"/>
      <c r="AE550" s="139"/>
    </row>
    <row r="551" ht="15.75" customHeight="1">
      <c r="A551" s="137"/>
      <c r="B551" s="139"/>
      <c r="C551" s="139"/>
      <c r="D551" s="139"/>
      <c r="E551" s="139"/>
      <c r="F551" s="139"/>
      <c r="G551" s="139"/>
      <c r="H551" s="187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</row>
    <row r="552" ht="15.75" customHeight="1">
      <c r="A552" s="137"/>
      <c r="B552" s="139"/>
      <c r="C552" s="139"/>
      <c r="D552" s="139"/>
      <c r="E552" s="139"/>
      <c r="F552" s="139"/>
      <c r="G552" s="139"/>
      <c r="H552" s="187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39"/>
      <c r="AD552" s="139"/>
      <c r="AE552" s="139"/>
    </row>
    <row r="553" ht="15.75" customHeight="1">
      <c r="A553" s="137"/>
      <c r="B553" s="139"/>
      <c r="C553" s="139"/>
      <c r="D553" s="139"/>
      <c r="E553" s="139"/>
      <c r="F553" s="139"/>
      <c r="G553" s="139"/>
      <c r="H553" s="187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39"/>
      <c r="AD553" s="139"/>
      <c r="AE553" s="139"/>
    </row>
    <row r="554" ht="15.75" customHeight="1">
      <c r="A554" s="137"/>
      <c r="B554" s="139"/>
      <c r="C554" s="139"/>
      <c r="D554" s="139"/>
      <c r="E554" s="139"/>
      <c r="F554" s="139"/>
      <c r="G554" s="139"/>
      <c r="H554" s="187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  <c r="AC554" s="139"/>
      <c r="AD554" s="139"/>
      <c r="AE554" s="139"/>
    </row>
    <row r="555" ht="15.75" customHeight="1">
      <c r="A555" s="137"/>
      <c r="B555" s="139"/>
      <c r="C555" s="139"/>
      <c r="D555" s="139"/>
      <c r="E555" s="139"/>
      <c r="F555" s="139"/>
      <c r="G555" s="139"/>
      <c r="H555" s="187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39"/>
      <c r="AD555" s="139"/>
      <c r="AE555" s="139"/>
    </row>
    <row r="556" ht="15.75" customHeight="1">
      <c r="A556" s="137"/>
      <c r="B556" s="139"/>
      <c r="C556" s="139"/>
      <c r="D556" s="139"/>
      <c r="E556" s="139"/>
      <c r="F556" s="139"/>
      <c r="G556" s="139"/>
      <c r="H556" s="187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  <c r="AC556" s="139"/>
      <c r="AD556" s="139"/>
      <c r="AE556" s="139"/>
    </row>
    <row r="557" ht="15.75" customHeight="1">
      <c r="A557" s="137"/>
      <c r="B557" s="139"/>
      <c r="C557" s="139"/>
      <c r="D557" s="139"/>
      <c r="E557" s="139"/>
      <c r="F557" s="139"/>
      <c r="G557" s="139"/>
      <c r="H557" s="187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39"/>
      <c r="AD557" s="139"/>
      <c r="AE557" s="139"/>
    </row>
    <row r="558" ht="15.75" customHeight="1">
      <c r="A558" s="137"/>
      <c r="B558" s="139"/>
      <c r="C558" s="139"/>
      <c r="D558" s="139"/>
      <c r="E558" s="139"/>
      <c r="F558" s="139"/>
      <c r="G558" s="139"/>
      <c r="H558" s="187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  <c r="AB558" s="139"/>
      <c r="AC558" s="139"/>
      <c r="AD558" s="139"/>
      <c r="AE558" s="139"/>
    </row>
    <row r="559" ht="15.75" customHeight="1">
      <c r="A559" s="137"/>
      <c r="B559" s="139"/>
      <c r="C559" s="139"/>
      <c r="D559" s="139"/>
      <c r="E559" s="139"/>
      <c r="F559" s="139"/>
      <c r="G559" s="139"/>
      <c r="H559" s="187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  <c r="AC559" s="139"/>
      <c r="AD559" s="139"/>
      <c r="AE559" s="139"/>
    </row>
    <row r="560" ht="15.75" customHeight="1">
      <c r="A560" s="137"/>
      <c r="B560" s="139"/>
      <c r="C560" s="139"/>
      <c r="D560" s="139"/>
      <c r="E560" s="139"/>
      <c r="F560" s="139"/>
      <c r="G560" s="139"/>
      <c r="H560" s="187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  <c r="AB560" s="139"/>
      <c r="AC560" s="139"/>
      <c r="AD560" s="139"/>
      <c r="AE560" s="139"/>
    </row>
    <row r="561" ht="15.75" customHeight="1">
      <c r="A561" s="137"/>
      <c r="B561" s="139"/>
      <c r="C561" s="139"/>
      <c r="D561" s="139"/>
      <c r="E561" s="139"/>
      <c r="F561" s="139"/>
      <c r="G561" s="139"/>
      <c r="H561" s="187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  <c r="AC561" s="139"/>
      <c r="AD561" s="139"/>
      <c r="AE561" s="139"/>
    </row>
    <row r="562" ht="15.75" customHeight="1">
      <c r="A562" s="137"/>
      <c r="B562" s="139"/>
      <c r="C562" s="139"/>
      <c r="D562" s="139"/>
      <c r="E562" s="139"/>
      <c r="F562" s="139"/>
      <c r="G562" s="139"/>
      <c r="H562" s="187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  <c r="AB562" s="139"/>
      <c r="AC562" s="139"/>
      <c r="AD562" s="139"/>
      <c r="AE562" s="139"/>
    </row>
    <row r="563" ht="15.75" customHeight="1">
      <c r="A563" s="137"/>
      <c r="B563" s="139"/>
      <c r="C563" s="139"/>
      <c r="D563" s="139"/>
      <c r="E563" s="139"/>
      <c r="F563" s="139"/>
      <c r="G563" s="139"/>
      <c r="H563" s="187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  <c r="AC563" s="139"/>
      <c r="AD563" s="139"/>
      <c r="AE563" s="139"/>
    </row>
    <row r="564" ht="15.75" customHeight="1">
      <c r="A564" s="137"/>
      <c r="B564" s="139"/>
      <c r="C564" s="139"/>
      <c r="D564" s="139"/>
      <c r="E564" s="139"/>
      <c r="F564" s="139"/>
      <c r="G564" s="139"/>
      <c r="H564" s="187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  <c r="AC564" s="139"/>
      <c r="AD564" s="139"/>
      <c r="AE564" s="139"/>
    </row>
    <row r="565" ht="15.75" customHeight="1">
      <c r="A565" s="137"/>
      <c r="B565" s="139"/>
      <c r="C565" s="139"/>
      <c r="D565" s="139"/>
      <c r="E565" s="139"/>
      <c r="F565" s="139"/>
      <c r="G565" s="139"/>
      <c r="H565" s="187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  <c r="AC565" s="139"/>
      <c r="AD565" s="139"/>
      <c r="AE565" s="139"/>
    </row>
    <row r="566" ht="15.75" customHeight="1">
      <c r="A566" s="137"/>
      <c r="B566" s="139"/>
      <c r="C566" s="139"/>
      <c r="D566" s="139"/>
      <c r="E566" s="139"/>
      <c r="F566" s="139"/>
      <c r="G566" s="139"/>
      <c r="H566" s="187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  <c r="AC566" s="139"/>
      <c r="AD566" s="139"/>
      <c r="AE566" s="139"/>
    </row>
    <row r="567" ht="15.75" customHeight="1">
      <c r="A567" s="137"/>
      <c r="B567" s="139"/>
      <c r="C567" s="139"/>
      <c r="D567" s="139"/>
      <c r="E567" s="139"/>
      <c r="F567" s="139"/>
      <c r="G567" s="139"/>
      <c r="H567" s="187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  <c r="AC567" s="139"/>
      <c r="AD567" s="139"/>
      <c r="AE567" s="139"/>
    </row>
    <row r="568" ht="15.75" customHeight="1">
      <c r="A568" s="137"/>
      <c r="B568" s="139"/>
      <c r="C568" s="139"/>
      <c r="D568" s="139"/>
      <c r="E568" s="139"/>
      <c r="F568" s="139"/>
      <c r="G568" s="139"/>
      <c r="H568" s="187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39"/>
      <c r="AD568" s="139"/>
      <c r="AE568" s="139"/>
    </row>
    <row r="569" ht="15.75" customHeight="1">
      <c r="A569" s="137"/>
      <c r="B569" s="139"/>
      <c r="C569" s="139"/>
      <c r="D569" s="139"/>
      <c r="E569" s="139"/>
      <c r="F569" s="139"/>
      <c r="G569" s="139"/>
      <c r="H569" s="187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39"/>
      <c r="AD569" s="139"/>
      <c r="AE569" s="139"/>
    </row>
    <row r="570" ht="15.75" customHeight="1">
      <c r="A570" s="137"/>
      <c r="B570" s="139"/>
      <c r="C570" s="139"/>
      <c r="D570" s="139"/>
      <c r="E570" s="139"/>
      <c r="F570" s="139"/>
      <c r="G570" s="139"/>
      <c r="H570" s="187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39"/>
      <c r="AD570" s="139"/>
      <c r="AE570" s="139"/>
    </row>
    <row r="571" ht="15.75" customHeight="1">
      <c r="A571" s="137"/>
      <c r="B571" s="139"/>
      <c r="C571" s="139"/>
      <c r="D571" s="139"/>
      <c r="E571" s="139"/>
      <c r="F571" s="139"/>
      <c r="G571" s="139"/>
      <c r="H571" s="187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  <c r="AC571" s="139"/>
      <c r="AD571" s="139"/>
      <c r="AE571" s="139"/>
    </row>
    <row r="572" ht="15.75" customHeight="1">
      <c r="A572" s="137"/>
      <c r="B572" s="139"/>
      <c r="C572" s="139"/>
      <c r="D572" s="139"/>
      <c r="E572" s="139"/>
      <c r="F572" s="139"/>
      <c r="G572" s="139"/>
      <c r="H572" s="187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  <c r="AC572" s="139"/>
      <c r="AD572" s="139"/>
      <c r="AE572" s="139"/>
    </row>
    <row r="573" ht="15.75" customHeight="1">
      <c r="A573" s="137"/>
      <c r="B573" s="139"/>
      <c r="C573" s="139"/>
      <c r="D573" s="139"/>
      <c r="E573" s="139"/>
      <c r="F573" s="139"/>
      <c r="G573" s="139"/>
      <c r="H573" s="187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  <c r="AC573" s="139"/>
      <c r="AD573" s="139"/>
      <c r="AE573" s="139"/>
    </row>
    <row r="574" ht="15.75" customHeight="1">
      <c r="A574" s="137"/>
      <c r="B574" s="139"/>
      <c r="C574" s="139"/>
      <c r="D574" s="139"/>
      <c r="E574" s="139"/>
      <c r="F574" s="139"/>
      <c r="G574" s="139"/>
      <c r="H574" s="187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39"/>
      <c r="AD574" s="139"/>
      <c r="AE574" s="139"/>
    </row>
    <row r="575" ht="15.75" customHeight="1">
      <c r="A575" s="137"/>
      <c r="B575" s="139"/>
      <c r="C575" s="139"/>
      <c r="D575" s="139"/>
      <c r="E575" s="139"/>
      <c r="F575" s="139"/>
      <c r="G575" s="139"/>
      <c r="H575" s="187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  <c r="AC575" s="139"/>
      <c r="AD575" s="139"/>
      <c r="AE575" s="139"/>
    </row>
    <row r="576" ht="15.75" customHeight="1">
      <c r="A576" s="137"/>
      <c r="B576" s="139"/>
      <c r="C576" s="139"/>
      <c r="D576" s="139"/>
      <c r="E576" s="139"/>
      <c r="F576" s="139"/>
      <c r="G576" s="139"/>
      <c r="H576" s="187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39"/>
      <c r="AD576" s="139"/>
      <c r="AE576" s="139"/>
    </row>
    <row r="577" ht="15.75" customHeight="1">
      <c r="A577" s="137"/>
      <c r="B577" s="139"/>
      <c r="C577" s="139"/>
      <c r="D577" s="139"/>
      <c r="E577" s="139"/>
      <c r="F577" s="139"/>
      <c r="G577" s="139"/>
      <c r="H577" s="187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  <c r="AC577" s="139"/>
      <c r="AD577" s="139"/>
      <c r="AE577" s="139"/>
    </row>
    <row r="578" ht="15.75" customHeight="1">
      <c r="A578" s="137"/>
      <c r="B578" s="139"/>
      <c r="C578" s="139"/>
      <c r="D578" s="139"/>
      <c r="E578" s="139"/>
      <c r="F578" s="139"/>
      <c r="G578" s="139"/>
      <c r="H578" s="187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39"/>
      <c r="AD578" s="139"/>
      <c r="AE578" s="139"/>
    </row>
    <row r="579" ht="15.75" customHeight="1">
      <c r="A579" s="137"/>
      <c r="B579" s="139"/>
      <c r="C579" s="139"/>
      <c r="D579" s="139"/>
      <c r="E579" s="139"/>
      <c r="F579" s="139"/>
      <c r="G579" s="139"/>
      <c r="H579" s="187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  <c r="AC579" s="139"/>
      <c r="AD579" s="139"/>
      <c r="AE579" s="139"/>
    </row>
    <row r="580" ht="15.75" customHeight="1">
      <c r="A580" s="137"/>
      <c r="B580" s="139"/>
      <c r="C580" s="139"/>
      <c r="D580" s="139"/>
      <c r="E580" s="139"/>
      <c r="F580" s="139"/>
      <c r="G580" s="139"/>
      <c r="H580" s="187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39"/>
      <c r="AD580" s="139"/>
      <c r="AE580" s="139"/>
    </row>
    <row r="581" ht="15.75" customHeight="1">
      <c r="A581" s="137"/>
      <c r="B581" s="139"/>
      <c r="C581" s="139"/>
      <c r="D581" s="139"/>
      <c r="E581" s="139"/>
      <c r="F581" s="139"/>
      <c r="G581" s="139"/>
      <c r="H581" s="187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  <c r="AC581" s="139"/>
      <c r="AD581" s="139"/>
      <c r="AE581" s="139"/>
    </row>
    <row r="582" ht="15.75" customHeight="1">
      <c r="A582" s="137"/>
      <c r="B582" s="139"/>
      <c r="C582" s="139"/>
      <c r="D582" s="139"/>
      <c r="E582" s="139"/>
      <c r="F582" s="139"/>
      <c r="G582" s="139"/>
      <c r="H582" s="187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39"/>
      <c r="AD582" s="139"/>
      <c r="AE582" s="139"/>
    </row>
    <row r="583" ht="15.75" customHeight="1">
      <c r="A583" s="137"/>
      <c r="B583" s="139"/>
      <c r="C583" s="139"/>
      <c r="D583" s="139"/>
      <c r="E583" s="139"/>
      <c r="F583" s="139"/>
      <c r="G583" s="139"/>
      <c r="H583" s="187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  <c r="AC583" s="139"/>
      <c r="AD583" s="139"/>
      <c r="AE583" s="139"/>
    </row>
    <row r="584" ht="15.75" customHeight="1">
      <c r="A584" s="137"/>
      <c r="B584" s="139"/>
      <c r="C584" s="139"/>
      <c r="D584" s="139"/>
      <c r="E584" s="139"/>
      <c r="F584" s="139"/>
      <c r="G584" s="139"/>
      <c r="H584" s="187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  <c r="AC584" s="139"/>
      <c r="AD584" s="139"/>
      <c r="AE584" s="139"/>
    </row>
    <row r="585" ht="15.75" customHeight="1">
      <c r="A585" s="137"/>
      <c r="B585" s="139"/>
      <c r="C585" s="139"/>
      <c r="D585" s="139"/>
      <c r="E585" s="139"/>
      <c r="F585" s="139"/>
      <c r="G585" s="139"/>
      <c r="H585" s="187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/>
      <c r="AD585" s="139"/>
      <c r="AE585" s="139"/>
    </row>
    <row r="586" ht="15.75" customHeight="1">
      <c r="A586" s="137"/>
      <c r="B586" s="139"/>
      <c r="C586" s="139"/>
      <c r="D586" s="139"/>
      <c r="E586" s="139"/>
      <c r="F586" s="139"/>
      <c r="G586" s="139"/>
      <c r="H586" s="187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  <c r="AC586" s="139"/>
      <c r="AD586" s="139"/>
      <c r="AE586" s="139"/>
    </row>
    <row r="587" ht="15.75" customHeight="1">
      <c r="A587" s="137"/>
      <c r="B587" s="139"/>
      <c r="C587" s="139"/>
      <c r="D587" s="139"/>
      <c r="E587" s="139"/>
      <c r="F587" s="139"/>
      <c r="G587" s="139"/>
      <c r="H587" s="187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39"/>
      <c r="AD587" s="139"/>
      <c r="AE587" s="139"/>
    </row>
    <row r="588" ht="15.75" customHeight="1">
      <c r="A588" s="137"/>
      <c r="B588" s="139"/>
      <c r="C588" s="139"/>
      <c r="D588" s="139"/>
      <c r="E588" s="139"/>
      <c r="F588" s="139"/>
      <c r="G588" s="139"/>
      <c r="H588" s="187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  <c r="AC588" s="139"/>
      <c r="AD588" s="139"/>
      <c r="AE588" s="139"/>
    </row>
    <row r="589" ht="15.75" customHeight="1">
      <c r="A589" s="137"/>
      <c r="B589" s="139"/>
      <c r="C589" s="139"/>
      <c r="D589" s="139"/>
      <c r="E589" s="139"/>
      <c r="F589" s="139"/>
      <c r="G589" s="139"/>
      <c r="H589" s="187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</row>
    <row r="590" ht="15.75" customHeight="1">
      <c r="A590" s="137"/>
      <c r="B590" s="139"/>
      <c r="C590" s="139"/>
      <c r="D590" s="139"/>
      <c r="E590" s="139"/>
      <c r="F590" s="139"/>
      <c r="G590" s="139"/>
      <c r="H590" s="187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39"/>
      <c r="AD590" s="139"/>
      <c r="AE590" s="139"/>
    </row>
    <row r="591" ht="15.75" customHeight="1">
      <c r="A591" s="137"/>
      <c r="B591" s="139"/>
      <c r="C591" s="139"/>
      <c r="D591" s="139"/>
      <c r="E591" s="139"/>
      <c r="F591" s="139"/>
      <c r="G591" s="139"/>
      <c r="H591" s="187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  <c r="AC591" s="139"/>
      <c r="AD591" s="139"/>
      <c r="AE591" s="139"/>
    </row>
    <row r="592" ht="15.75" customHeight="1">
      <c r="A592" s="137"/>
      <c r="B592" s="139"/>
      <c r="C592" s="139"/>
      <c r="D592" s="139"/>
      <c r="E592" s="139"/>
      <c r="F592" s="139"/>
      <c r="G592" s="139"/>
      <c r="H592" s="187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</row>
    <row r="593" ht="15.75" customHeight="1">
      <c r="A593" s="137"/>
      <c r="B593" s="139"/>
      <c r="C593" s="139"/>
      <c r="D593" s="139"/>
      <c r="E593" s="139"/>
      <c r="F593" s="139"/>
      <c r="G593" s="139"/>
      <c r="H593" s="187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  <c r="AC593" s="139"/>
      <c r="AD593" s="139"/>
      <c r="AE593" s="139"/>
    </row>
    <row r="594" ht="15.75" customHeight="1">
      <c r="A594" s="137"/>
      <c r="B594" s="139"/>
      <c r="C594" s="139"/>
      <c r="D594" s="139"/>
      <c r="E594" s="139"/>
      <c r="F594" s="139"/>
      <c r="G594" s="139"/>
      <c r="H594" s="187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</row>
    <row r="595" ht="15.75" customHeight="1">
      <c r="A595" s="137"/>
      <c r="B595" s="139"/>
      <c r="C595" s="139"/>
      <c r="D595" s="139"/>
      <c r="E595" s="139"/>
      <c r="F595" s="139"/>
      <c r="G595" s="139"/>
      <c r="H595" s="187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  <c r="AC595" s="139"/>
      <c r="AD595" s="139"/>
      <c r="AE595" s="139"/>
    </row>
    <row r="596" ht="15.75" customHeight="1">
      <c r="A596" s="137"/>
      <c r="B596" s="139"/>
      <c r="C596" s="139"/>
      <c r="D596" s="139"/>
      <c r="E596" s="139"/>
      <c r="F596" s="139"/>
      <c r="G596" s="139"/>
      <c r="H596" s="187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/>
      <c r="AD596" s="139"/>
      <c r="AE596" s="139"/>
    </row>
    <row r="597" ht="15.75" customHeight="1">
      <c r="A597" s="137"/>
      <c r="B597" s="139"/>
      <c r="C597" s="139"/>
      <c r="D597" s="139"/>
      <c r="E597" s="139"/>
      <c r="F597" s="139"/>
      <c r="G597" s="139"/>
      <c r="H597" s="187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</row>
    <row r="598" ht="15.75" customHeight="1">
      <c r="A598" s="137"/>
      <c r="B598" s="139"/>
      <c r="C598" s="139"/>
      <c r="D598" s="139"/>
      <c r="E598" s="139"/>
      <c r="F598" s="139"/>
      <c r="G598" s="139"/>
      <c r="H598" s="187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39"/>
      <c r="AD598" s="139"/>
      <c r="AE598" s="139"/>
    </row>
    <row r="599" ht="15.75" customHeight="1">
      <c r="A599" s="137"/>
      <c r="B599" s="139"/>
      <c r="C599" s="139"/>
      <c r="D599" s="139"/>
      <c r="E599" s="139"/>
      <c r="F599" s="139"/>
      <c r="G599" s="139"/>
      <c r="H599" s="187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</row>
    <row r="600" ht="15.75" customHeight="1">
      <c r="A600" s="137"/>
      <c r="B600" s="139"/>
      <c r="C600" s="139"/>
      <c r="D600" s="139"/>
      <c r="E600" s="139"/>
      <c r="F600" s="139"/>
      <c r="G600" s="139"/>
      <c r="H600" s="187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</row>
    <row r="601" ht="15.75" customHeight="1">
      <c r="A601" s="137"/>
      <c r="B601" s="139"/>
      <c r="C601" s="139"/>
      <c r="D601" s="139"/>
      <c r="E601" s="139"/>
      <c r="F601" s="139"/>
      <c r="G601" s="139"/>
      <c r="H601" s="187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</row>
    <row r="602" ht="15.75" customHeight="1">
      <c r="A602" s="137"/>
      <c r="B602" s="139"/>
      <c r="C602" s="139"/>
      <c r="D602" s="139"/>
      <c r="E602" s="139"/>
      <c r="F602" s="139"/>
      <c r="G602" s="139"/>
      <c r="H602" s="187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</row>
    <row r="603" ht="15.75" customHeight="1">
      <c r="A603" s="137"/>
      <c r="B603" s="139"/>
      <c r="C603" s="139"/>
      <c r="D603" s="139"/>
      <c r="E603" s="139"/>
      <c r="F603" s="139"/>
      <c r="G603" s="139"/>
      <c r="H603" s="187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</row>
    <row r="604" ht="15.75" customHeight="1">
      <c r="A604" s="137"/>
      <c r="B604" s="139"/>
      <c r="C604" s="139"/>
      <c r="D604" s="139"/>
      <c r="E604" s="139"/>
      <c r="F604" s="139"/>
      <c r="G604" s="139"/>
      <c r="H604" s="187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  <c r="AC604" s="139"/>
      <c r="AD604" s="139"/>
      <c r="AE604" s="139"/>
    </row>
    <row r="605" ht="15.75" customHeight="1">
      <c r="A605" s="137"/>
      <c r="B605" s="139"/>
      <c r="C605" s="139"/>
      <c r="D605" s="139"/>
      <c r="E605" s="139"/>
      <c r="F605" s="139"/>
      <c r="G605" s="139"/>
      <c r="H605" s="187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</row>
    <row r="606" ht="15.75" customHeight="1">
      <c r="A606" s="137"/>
      <c r="B606" s="139"/>
      <c r="C606" s="139"/>
      <c r="D606" s="139"/>
      <c r="E606" s="139"/>
      <c r="F606" s="139"/>
      <c r="G606" s="139"/>
      <c r="H606" s="187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</row>
    <row r="607" ht="15.75" customHeight="1">
      <c r="A607" s="137"/>
      <c r="B607" s="139"/>
      <c r="C607" s="139"/>
      <c r="D607" s="139"/>
      <c r="E607" s="139"/>
      <c r="F607" s="139"/>
      <c r="G607" s="139"/>
      <c r="H607" s="187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</row>
    <row r="608" ht="15.75" customHeight="1">
      <c r="A608" s="137"/>
      <c r="B608" s="139"/>
      <c r="C608" s="139"/>
      <c r="D608" s="139"/>
      <c r="E608" s="139"/>
      <c r="F608" s="139"/>
      <c r="G608" s="139"/>
      <c r="H608" s="187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</row>
    <row r="609" ht="15.75" customHeight="1">
      <c r="A609" s="137"/>
      <c r="B609" s="139"/>
      <c r="C609" s="139"/>
      <c r="D609" s="139"/>
      <c r="E609" s="139"/>
      <c r="F609" s="139"/>
      <c r="G609" s="139"/>
      <c r="H609" s="187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</row>
    <row r="610" ht="15.75" customHeight="1">
      <c r="A610" s="137"/>
      <c r="B610" s="139"/>
      <c r="C610" s="139"/>
      <c r="D610" s="139"/>
      <c r="E610" s="139"/>
      <c r="F610" s="139"/>
      <c r="G610" s="139"/>
      <c r="H610" s="187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</row>
    <row r="611" ht="15.75" customHeight="1">
      <c r="A611" s="137"/>
      <c r="B611" s="139"/>
      <c r="C611" s="139"/>
      <c r="D611" s="139"/>
      <c r="E611" s="139"/>
      <c r="F611" s="139"/>
      <c r="G611" s="139"/>
      <c r="H611" s="187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39"/>
      <c r="AD611" s="139"/>
      <c r="AE611" s="139"/>
    </row>
    <row r="612" ht="15.75" customHeight="1">
      <c r="A612" s="137"/>
      <c r="B612" s="139"/>
      <c r="C612" s="139"/>
      <c r="D612" s="139"/>
      <c r="E612" s="139"/>
      <c r="F612" s="139"/>
      <c r="G612" s="139"/>
      <c r="H612" s="187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  <c r="AC612" s="139"/>
      <c r="AD612" s="139"/>
      <c r="AE612" s="139"/>
    </row>
    <row r="613" ht="15.75" customHeight="1">
      <c r="A613" s="137"/>
      <c r="B613" s="139"/>
      <c r="C613" s="139"/>
      <c r="D613" s="139"/>
      <c r="E613" s="139"/>
      <c r="F613" s="139"/>
      <c r="G613" s="139"/>
      <c r="H613" s="187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</row>
    <row r="614" ht="15.75" customHeight="1">
      <c r="A614" s="137"/>
      <c r="B614" s="139"/>
      <c r="C614" s="139"/>
      <c r="D614" s="139"/>
      <c r="E614" s="139"/>
      <c r="F614" s="139"/>
      <c r="G614" s="139"/>
      <c r="H614" s="187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</row>
    <row r="615" ht="15.75" customHeight="1">
      <c r="A615" s="137"/>
      <c r="B615" s="139"/>
      <c r="C615" s="139"/>
      <c r="D615" s="139"/>
      <c r="E615" s="139"/>
      <c r="F615" s="139"/>
      <c r="G615" s="139"/>
      <c r="H615" s="187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</row>
    <row r="616" ht="15.75" customHeight="1">
      <c r="A616" s="137"/>
      <c r="B616" s="139"/>
      <c r="C616" s="139"/>
      <c r="D616" s="139"/>
      <c r="E616" s="139"/>
      <c r="F616" s="139"/>
      <c r="G616" s="139"/>
      <c r="H616" s="187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</row>
    <row r="617" ht="15.75" customHeight="1">
      <c r="A617" s="137"/>
      <c r="B617" s="139"/>
      <c r="C617" s="139"/>
      <c r="D617" s="139"/>
      <c r="E617" s="139"/>
      <c r="F617" s="139"/>
      <c r="G617" s="139"/>
      <c r="H617" s="187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</row>
    <row r="618" ht="15.75" customHeight="1">
      <c r="A618" s="137"/>
      <c r="B618" s="139"/>
      <c r="C618" s="139"/>
      <c r="D618" s="139"/>
      <c r="E618" s="139"/>
      <c r="F618" s="139"/>
      <c r="G618" s="139"/>
      <c r="H618" s="187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  <c r="AC618" s="139"/>
      <c r="AD618" s="139"/>
      <c r="AE618" s="139"/>
    </row>
    <row r="619" ht="15.75" customHeight="1">
      <c r="A619" s="137"/>
      <c r="B619" s="139"/>
      <c r="C619" s="139"/>
      <c r="D619" s="139"/>
      <c r="E619" s="139"/>
      <c r="F619" s="139"/>
      <c r="G619" s="139"/>
      <c r="H619" s="187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</row>
    <row r="620" ht="15.75" customHeight="1">
      <c r="A620" s="137"/>
      <c r="B620" s="139"/>
      <c r="C620" s="139"/>
      <c r="D620" s="139"/>
      <c r="E620" s="139"/>
      <c r="F620" s="139"/>
      <c r="G620" s="139"/>
      <c r="H620" s="187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</row>
    <row r="621" ht="15.75" customHeight="1">
      <c r="A621" s="137"/>
      <c r="B621" s="139"/>
      <c r="C621" s="139"/>
      <c r="D621" s="139"/>
      <c r="E621" s="139"/>
      <c r="F621" s="139"/>
      <c r="G621" s="139"/>
      <c r="H621" s="187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</row>
    <row r="622" ht="15.75" customHeight="1">
      <c r="A622" s="137"/>
      <c r="B622" s="139"/>
      <c r="C622" s="139"/>
      <c r="D622" s="139"/>
      <c r="E622" s="139"/>
      <c r="F622" s="139"/>
      <c r="G622" s="139"/>
      <c r="H622" s="187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  <c r="AC622" s="139"/>
      <c r="AD622" s="139"/>
      <c r="AE622" s="139"/>
    </row>
    <row r="623" ht="15.75" customHeight="1">
      <c r="A623" s="137"/>
      <c r="B623" s="139"/>
      <c r="C623" s="139"/>
      <c r="D623" s="139"/>
      <c r="E623" s="139"/>
      <c r="F623" s="139"/>
      <c r="G623" s="139"/>
      <c r="H623" s="187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39"/>
      <c r="AD623" s="139"/>
      <c r="AE623" s="139"/>
    </row>
    <row r="624" ht="15.75" customHeight="1">
      <c r="A624" s="137"/>
      <c r="B624" s="139"/>
      <c r="C624" s="139"/>
      <c r="D624" s="139"/>
      <c r="E624" s="139"/>
      <c r="F624" s="139"/>
      <c r="G624" s="139"/>
      <c r="H624" s="187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</row>
    <row r="625" ht="15.75" customHeight="1">
      <c r="A625" s="137"/>
      <c r="B625" s="139"/>
      <c r="C625" s="139"/>
      <c r="D625" s="139"/>
      <c r="E625" s="139"/>
      <c r="F625" s="139"/>
      <c r="G625" s="139"/>
      <c r="H625" s="187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</row>
    <row r="626" ht="15.75" customHeight="1">
      <c r="A626" s="137"/>
      <c r="B626" s="139"/>
      <c r="C626" s="139"/>
      <c r="D626" s="139"/>
      <c r="E626" s="139"/>
      <c r="F626" s="139"/>
      <c r="G626" s="139"/>
      <c r="H626" s="187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  <c r="AC626" s="139"/>
      <c r="AD626" s="139"/>
      <c r="AE626" s="139"/>
    </row>
    <row r="627" ht="15.75" customHeight="1">
      <c r="A627" s="137"/>
      <c r="B627" s="139"/>
      <c r="C627" s="139"/>
      <c r="D627" s="139"/>
      <c r="E627" s="139"/>
      <c r="F627" s="139"/>
      <c r="G627" s="139"/>
      <c r="H627" s="187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</row>
    <row r="628" ht="15.75" customHeight="1">
      <c r="A628" s="137"/>
      <c r="B628" s="139"/>
      <c r="C628" s="139"/>
      <c r="D628" s="139"/>
      <c r="E628" s="139"/>
      <c r="F628" s="139"/>
      <c r="G628" s="139"/>
      <c r="H628" s="187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</row>
    <row r="629" ht="15.75" customHeight="1">
      <c r="A629" s="137"/>
      <c r="B629" s="139"/>
      <c r="C629" s="139"/>
      <c r="D629" s="139"/>
      <c r="E629" s="139"/>
      <c r="F629" s="139"/>
      <c r="G629" s="139"/>
      <c r="H629" s="187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39"/>
      <c r="AD629" s="139"/>
      <c r="AE629" s="139"/>
    </row>
    <row r="630" ht="15.75" customHeight="1">
      <c r="A630" s="137"/>
      <c r="B630" s="139"/>
      <c r="C630" s="139"/>
      <c r="D630" s="139"/>
      <c r="E630" s="139"/>
      <c r="F630" s="139"/>
      <c r="G630" s="139"/>
      <c r="H630" s="187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  <c r="AC630" s="139"/>
      <c r="AD630" s="139"/>
      <c r="AE630" s="139"/>
    </row>
    <row r="631" ht="15.75" customHeight="1">
      <c r="A631" s="137"/>
      <c r="B631" s="139"/>
      <c r="C631" s="139"/>
      <c r="D631" s="139"/>
      <c r="E631" s="139"/>
      <c r="F631" s="139"/>
      <c r="G631" s="139"/>
      <c r="H631" s="187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  <c r="AC631" s="139"/>
      <c r="AD631" s="139"/>
      <c r="AE631" s="139"/>
    </row>
    <row r="632" ht="15.75" customHeight="1">
      <c r="A632" s="137"/>
      <c r="B632" s="139"/>
      <c r="C632" s="139"/>
      <c r="D632" s="139"/>
      <c r="E632" s="139"/>
      <c r="F632" s="139"/>
      <c r="G632" s="139"/>
      <c r="H632" s="187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</row>
    <row r="633" ht="15.75" customHeight="1">
      <c r="A633" s="137"/>
      <c r="B633" s="139"/>
      <c r="C633" s="139"/>
      <c r="D633" s="139"/>
      <c r="E633" s="139"/>
      <c r="F633" s="139"/>
      <c r="G633" s="139"/>
      <c r="H633" s="187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</row>
    <row r="634" ht="15.75" customHeight="1">
      <c r="A634" s="137"/>
      <c r="B634" s="139"/>
      <c r="C634" s="139"/>
      <c r="D634" s="139"/>
      <c r="E634" s="139"/>
      <c r="F634" s="139"/>
      <c r="G634" s="139"/>
      <c r="H634" s="187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</row>
    <row r="635" ht="15.75" customHeight="1">
      <c r="A635" s="137"/>
      <c r="B635" s="139"/>
      <c r="C635" s="139"/>
      <c r="D635" s="139"/>
      <c r="E635" s="139"/>
      <c r="F635" s="139"/>
      <c r="G635" s="139"/>
      <c r="H635" s="187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</row>
    <row r="636" ht="15.75" customHeight="1">
      <c r="A636" s="137"/>
      <c r="B636" s="139"/>
      <c r="C636" s="139"/>
      <c r="D636" s="139"/>
      <c r="E636" s="139"/>
      <c r="F636" s="139"/>
      <c r="G636" s="139"/>
      <c r="H636" s="187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</row>
    <row r="637" ht="15.75" customHeight="1">
      <c r="A637" s="137"/>
      <c r="B637" s="139"/>
      <c r="C637" s="139"/>
      <c r="D637" s="139"/>
      <c r="E637" s="139"/>
      <c r="F637" s="139"/>
      <c r="G637" s="139"/>
      <c r="H637" s="187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</row>
    <row r="638" ht="15.75" customHeight="1">
      <c r="A638" s="137"/>
      <c r="B638" s="139"/>
      <c r="C638" s="139"/>
      <c r="D638" s="139"/>
      <c r="E638" s="139"/>
      <c r="F638" s="139"/>
      <c r="G638" s="139"/>
      <c r="H638" s="187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  <c r="AC638" s="139"/>
      <c r="AD638" s="139"/>
      <c r="AE638" s="139"/>
    </row>
    <row r="639" ht="15.75" customHeight="1">
      <c r="A639" s="137"/>
      <c r="B639" s="139"/>
      <c r="C639" s="139"/>
      <c r="D639" s="139"/>
      <c r="E639" s="139"/>
      <c r="F639" s="139"/>
      <c r="G639" s="139"/>
      <c r="H639" s="187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39"/>
      <c r="AD639" s="139"/>
      <c r="AE639" s="139"/>
    </row>
    <row r="640" ht="15.75" customHeight="1">
      <c r="A640" s="137"/>
      <c r="B640" s="139"/>
      <c r="C640" s="139"/>
      <c r="D640" s="139"/>
      <c r="E640" s="139"/>
      <c r="F640" s="139"/>
      <c r="G640" s="139"/>
      <c r="H640" s="187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</row>
    <row r="641" ht="15.75" customHeight="1">
      <c r="A641" s="137"/>
      <c r="B641" s="139"/>
      <c r="C641" s="139"/>
      <c r="D641" s="139"/>
      <c r="E641" s="139"/>
      <c r="F641" s="139"/>
      <c r="G641" s="139"/>
      <c r="H641" s="187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</row>
    <row r="642" ht="15.75" customHeight="1">
      <c r="A642" s="137"/>
      <c r="B642" s="139"/>
      <c r="C642" s="139"/>
      <c r="D642" s="139"/>
      <c r="E642" s="139"/>
      <c r="F642" s="139"/>
      <c r="G642" s="139"/>
      <c r="H642" s="187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  <c r="AC642" s="139"/>
      <c r="AD642" s="139"/>
      <c r="AE642" s="139"/>
    </row>
    <row r="643" ht="15.75" customHeight="1">
      <c r="A643" s="137"/>
      <c r="B643" s="139"/>
      <c r="C643" s="139"/>
      <c r="D643" s="139"/>
      <c r="E643" s="139"/>
      <c r="F643" s="139"/>
      <c r="G643" s="139"/>
      <c r="H643" s="187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</row>
    <row r="644" ht="15.75" customHeight="1">
      <c r="A644" s="137"/>
      <c r="B644" s="139"/>
      <c r="C644" s="139"/>
      <c r="D644" s="139"/>
      <c r="E644" s="139"/>
      <c r="F644" s="139"/>
      <c r="G644" s="139"/>
      <c r="H644" s="187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</row>
    <row r="645" ht="15.75" customHeight="1">
      <c r="A645" s="137"/>
      <c r="B645" s="139"/>
      <c r="C645" s="139"/>
      <c r="D645" s="139"/>
      <c r="E645" s="139"/>
      <c r="F645" s="139"/>
      <c r="G645" s="139"/>
      <c r="H645" s="187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</row>
    <row r="646" ht="15.75" customHeight="1">
      <c r="A646" s="137"/>
      <c r="B646" s="139"/>
      <c r="C646" s="139"/>
      <c r="D646" s="139"/>
      <c r="E646" s="139"/>
      <c r="F646" s="139"/>
      <c r="G646" s="139"/>
      <c r="H646" s="187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</row>
    <row r="647" ht="15.75" customHeight="1">
      <c r="A647" s="137"/>
      <c r="B647" s="139"/>
      <c r="C647" s="139"/>
      <c r="D647" s="139"/>
      <c r="E647" s="139"/>
      <c r="F647" s="139"/>
      <c r="G647" s="139"/>
      <c r="H647" s="187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  <c r="AC647" s="139"/>
      <c r="AD647" s="139"/>
      <c r="AE647" s="139"/>
    </row>
    <row r="648" ht="15.75" customHeight="1">
      <c r="A648" s="137"/>
      <c r="B648" s="139"/>
      <c r="C648" s="139"/>
      <c r="D648" s="139"/>
      <c r="E648" s="139"/>
      <c r="F648" s="139"/>
      <c r="G648" s="139"/>
      <c r="H648" s="187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</row>
    <row r="649" ht="15.75" customHeight="1">
      <c r="A649" s="137"/>
      <c r="B649" s="139"/>
      <c r="C649" s="139"/>
      <c r="D649" s="139"/>
      <c r="E649" s="139"/>
      <c r="F649" s="139"/>
      <c r="G649" s="139"/>
      <c r="H649" s="187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</row>
    <row r="650" ht="15.75" customHeight="1">
      <c r="A650" s="137"/>
      <c r="B650" s="139"/>
      <c r="C650" s="139"/>
      <c r="D650" s="139"/>
      <c r="E650" s="139"/>
      <c r="F650" s="139"/>
      <c r="G650" s="139"/>
      <c r="H650" s="187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</row>
    <row r="651" ht="15.75" customHeight="1">
      <c r="A651" s="137"/>
      <c r="B651" s="139"/>
      <c r="C651" s="139"/>
      <c r="D651" s="139"/>
      <c r="E651" s="139"/>
      <c r="F651" s="139"/>
      <c r="G651" s="139"/>
      <c r="H651" s="187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</row>
    <row r="652" ht="15.75" customHeight="1">
      <c r="A652" s="137"/>
      <c r="B652" s="139"/>
      <c r="C652" s="139"/>
      <c r="D652" s="139"/>
      <c r="E652" s="139"/>
      <c r="F652" s="139"/>
      <c r="G652" s="139"/>
      <c r="H652" s="187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</row>
    <row r="653" ht="15.75" customHeight="1">
      <c r="A653" s="137"/>
      <c r="B653" s="139"/>
      <c r="C653" s="139"/>
      <c r="D653" s="139"/>
      <c r="E653" s="139"/>
      <c r="F653" s="139"/>
      <c r="G653" s="139"/>
      <c r="H653" s="187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</row>
    <row r="654" ht="15.75" customHeight="1">
      <c r="A654" s="137"/>
      <c r="B654" s="139"/>
      <c r="C654" s="139"/>
      <c r="D654" s="139"/>
      <c r="E654" s="139"/>
      <c r="F654" s="139"/>
      <c r="G654" s="139"/>
      <c r="H654" s="187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</row>
    <row r="655" ht="15.75" customHeight="1">
      <c r="A655" s="137"/>
      <c r="B655" s="139"/>
      <c r="C655" s="139"/>
      <c r="D655" s="139"/>
      <c r="E655" s="139"/>
      <c r="F655" s="139"/>
      <c r="G655" s="139"/>
      <c r="H655" s="187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</row>
    <row r="656" ht="15.75" customHeight="1">
      <c r="A656" s="137"/>
      <c r="B656" s="139"/>
      <c r="C656" s="139"/>
      <c r="D656" s="139"/>
      <c r="E656" s="139"/>
      <c r="F656" s="139"/>
      <c r="G656" s="139"/>
      <c r="H656" s="187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</row>
    <row r="657" ht="15.75" customHeight="1">
      <c r="A657" s="137"/>
      <c r="B657" s="139"/>
      <c r="C657" s="139"/>
      <c r="D657" s="139"/>
      <c r="E657" s="139"/>
      <c r="F657" s="139"/>
      <c r="G657" s="139"/>
      <c r="H657" s="187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</row>
    <row r="658" ht="15.75" customHeight="1">
      <c r="A658" s="137"/>
      <c r="B658" s="139"/>
      <c r="C658" s="139"/>
      <c r="D658" s="139"/>
      <c r="E658" s="139"/>
      <c r="F658" s="139"/>
      <c r="G658" s="139"/>
      <c r="H658" s="187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</row>
    <row r="659" ht="15.75" customHeight="1">
      <c r="A659" s="137"/>
      <c r="B659" s="139"/>
      <c r="C659" s="139"/>
      <c r="D659" s="139"/>
      <c r="E659" s="139"/>
      <c r="F659" s="139"/>
      <c r="G659" s="139"/>
      <c r="H659" s="187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</row>
    <row r="660" ht="15.75" customHeight="1">
      <c r="A660" s="137"/>
      <c r="B660" s="139"/>
      <c r="C660" s="139"/>
      <c r="D660" s="139"/>
      <c r="E660" s="139"/>
      <c r="F660" s="139"/>
      <c r="G660" s="139"/>
      <c r="H660" s="187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</row>
    <row r="661" ht="15.75" customHeight="1">
      <c r="A661" s="137"/>
      <c r="B661" s="139"/>
      <c r="C661" s="139"/>
      <c r="D661" s="139"/>
      <c r="E661" s="139"/>
      <c r="F661" s="139"/>
      <c r="G661" s="139"/>
      <c r="H661" s="187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</row>
    <row r="662" ht="15.75" customHeight="1">
      <c r="A662" s="137"/>
      <c r="B662" s="139"/>
      <c r="C662" s="139"/>
      <c r="D662" s="139"/>
      <c r="E662" s="139"/>
      <c r="F662" s="139"/>
      <c r="G662" s="139"/>
      <c r="H662" s="187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</row>
    <row r="663" ht="15.75" customHeight="1">
      <c r="A663" s="137"/>
      <c r="B663" s="139"/>
      <c r="C663" s="139"/>
      <c r="D663" s="139"/>
      <c r="E663" s="139"/>
      <c r="F663" s="139"/>
      <c r="G663" s="139"/>
      <c r="H663" s="187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</row>
    <row r="664" ht="15.75" customHeight="1">
      <c r="A664" s="137"/>
      <c r="B664" s="139"/>
      <c r="C664" s="139"/>
      <c r="D664" s="139"/>
      <c r="E664" s="139"/>
      <c r="F664" s="139"/>
      <c r="G664" s="139"/>
      <c r="H664" s="187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</row>
    <row r="665" ht="15.75" customHeight="1">
      <c r="A665" s="137"/>
      <c r="B665" s="139"/>
      <c r="C665" s="139"/>
      <c r="D665" s="139"/>
      <c r="E665" s="139"/>
      <c r="F665" s="139"/>
      <c r="G665" s="139"/>
      <c r="H665" s="187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</row>
    <row r="666" ht="15.75" customHeight="1">
      <c r="A666" s="137"/>
      <c r="B666" s="139"/>
      <c r="C666" s="139"/>
      <c r="D666" s="139"/>
      <c r="E666" s="139"/>
      <c r="F666" s="139"/>
      <c r="G666" s="139"/>
      <c r="H666" s="187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39"/>
      <c r="AD666" s="139"/>
      <c r="AE666" s="139"/>
    </row>
    <row r="667" ht="15.75" customHeight="1">
      <c r="A667" s="137"/>
      <c r="B667" s="139"/>
      <c r="C667" s="139"/>
      <c r="D667" s="139"/>
      <c r="E667" s="139"/>
      <c r="F667" s="139"/>
      <c r="G667" s="139"/>
      <c r="H667" s="187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  <c r="AE667" s="139"/>
    </row>
    <row r="668" ht="15.75" customHeight="1">
      <c r="A668" s="137"/>
      <c r="B668" s="139"/>
      <c r="C668" s="139"/>
      <c r="D668" s="139"/>
      <c r="E668" s="139"/>
      <c r="F668" s="139"/>
      <c r="G668" s="139"/>
      <c r="H668" s="187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39"/>
      <c r="AD668" s="139"/>
      <c r="AE668" s="139"/>
    </row>
    <row r="669" ht="15.75" customHeight="1">
      <c r="A669" s="137"/>
      <c r="B669" s="139"/>
      <c r="C669" s="139"/>
      <c r="D669" s="139"/>
      <c r="E669" s="139"/>
      <c r="F669" s="139"/>
      <c r="G669" s="139"/>
      <c r="H669" s="187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  <c r="AE669" s="139"/>
    </row>
    <row r="670" ht="15.75" customHeight="1">
      <c r="A670" s="137"/>
      <c r="B670" s="139"/>
      <c r="C670" s="139"/>
      <c r="D670" s="139"/>
      <c r="E670" s="139"/>
      <c r="F670" s="139"/>
      <c r="G670" s="139"/>
      <c r="H670" s="187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39"/>
      <c r="AD670" s="139"/>
      <c r="AE670" s="139"/>
    </row>
    <row r="671" ht="15.75" customHeight="1">
      <c r="A671" s="137"/>
      <c r="B671" s="139"/>
      <c r="C671" s="139"/>
      <c r="D671" s="139"/>
      <c r="E671" s="139"/>
      <c r="F671" s="139"/>
      <c r="G671" s="139"/>
      <c r="H671" s="187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/>
      <c r="AD671" s="139"/>
      <c r="AE671" s="139"/>
    </row>
    <row r="672" ht="15.75" customHeight="1">
      <c r="A672" s="137"/>
      <c r="B672" s="139"/>
      <c r="C672" s="139"/>
      <c r="D672" s="139"/>
      <c r="E672" s="139"/>
      <c r="F672" s="139"/>
      <c r="G672" s="139"/>
      <c r="H672" s="187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39"/>
      <c r="AD672" s="139"/>
      <c r="AE672" s="139"/>
    </row>
    <row r="673" ht="15.75" customHeight="1">
      <c r="A673" s="137"/>
      <c r="B673" s="139"/>
      <c r="C673" s="139"/>
      <c r="D673" s="139"/>
      <c r="E673" s="139"/>
      <c r="F673" s="139"/>
      <c r="G673" s="139"/>
      <c r="H673" s="187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  <c r="AE673" s="139"/>
    </row>
    <row r="674" ht="15.75" customHeight="1">
      <c r="A674" s="137"/>
      <c r="B674" s="139"/>
      <c r="C674" s="139"/>
      <c r="D674" s="139"/>
      <c r="E674" s="139"/>
      <c r="F674" s="139"/>
      <c r="G674" s="139"/>
      <c r="H674" s="187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39"/>
      <c r="AD674" s="139"/>
      <c r="AE674" s="139"/>
    </row>
    <row r="675" ht="15.75" customHeight="1">
      <c r="A675" s="137"/>
      <c r="B675" s="139"/>
      <c r="C675" s="139"/>
      <c r="D675" s="139"/>
      <c r="E675" s="139"/>
      <c r="F675" s="139"/>
      <c r="G675" s="139"/>
      <c r="H675" s="187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  <c r="AE675" s="139"/>
    </row>
    <row r="676" ht="15.75" customHeight="1">
      <c r="A676" s="137"/>
      <c r="B676" s="139"/>
      <c r="C676" s="139"/>
      <c r="D676" s="139"/>
      <c r="E676" s="139"/>
      <c r="F676" s="139"/>
      <c r="G676" s="139"/>
      <c r="H676" s="187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39"/>
      <c r="AD676" s="139"/>
      <c r="AE676" s="139"/>
    </row>
    <row r="677" ht="15.75" customHeight="1">
      <c r="A677" s="137"/>
      <c r="B677" s="139"/>
      <c r="C677" s="139"/>
      <c r="D677" s="139"/>
      <c r="E677" s="139"/>
      <c r="F677" s="139"/>
      <c r="G677" s="139"/>
      <c r="H677" s="187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  <c r="AE677" s="139"/>
    </row>
    <row r="678" ht="15.75" customHeight="1">
      <c r="A678" s="137"/>
      <c r="B678" s="139"/>
      <c r="C678" s="139"/>
      <c r="D678" s="139"/>
      <c r="E678" s="139"/>
      <c r="F678" s="139"/>
      <c r="G678" s="139"/>
      <c r="H678" s="187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39"/>
      <c r="AD678" s="139"/>
      <c r="AE678" s="139"/>
    </row>
    <row r="679" ht="15.75" customHeight="1">
      <c r="A679" s="137"/>
      <c r="B679" s="139"/>
      <c r="C679" s="139"/>
      <c r="D679" s="139"/>
      <c r="E679" s="139"/>
      <c r="F679" s="139"/>
      <c r="G679" s="139"/>
      <c r="H679" s="187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39"/>
      <c r="AD679" s="139"/>
      <c r="AE679" s="139"/>
    </row>
    <row r="680" ht="15.75" customHeight="1">
      <c r="A680" s="137"/>
      <c r="B680" s="139"/>
      <c r="C680" s="139"/>
      <c r="D680" s="139"/>
      <c r="E680" s="139"/>
      <c r="F680" s="139"/>
      <c r="G680" s="139"/>
      <c r="H680" s="187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39"/>
      <c r="AD680" s="139"/>
      <c r="AE680" s="139"/>
    </row>
    <row r="681" ht="15.75" customHeight="1">
      <c r="A681" s="137"/>
      <c r="B681" s="139"/>
      <c r="C681" s="139"/>
      <c r="D681" s="139"/>
      <c r="E681" s="139"/>
      <c r="F681" s="139"/>
      <c r="G681" s="139"/>
      <c r="H681" s="187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/>
      <c r="AD681" s="139"/>
      <c r="AE681" s="139"/>
    </row>
    <row r="682" ht="15.75" customHeight="1">
      <c r="A682" s="137"/>
      <c r="B682" s="139"/>
      <c r="C682" s="139"/>
      <c r="D682" s="139"/>
      <c r="E682" s="139"/>
      <c r="F682" s="139"/>
      <c r="G682" s="139"/>
      <c r="H682" s="187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39"/>
      <c r="AD682" s="139"/>
      <c r="AE682" s="139"/>
    </row>
    <row r="683" ht="15.75" customHeight="1">
      <c r="A683" s="137"/>
      <c r="B683" s="139"/>
      <c r="C683" s="139"/>
      <c r="D683" s="139"/>
      <c r="E683" s="139"/>
      <c r="F683" s="139"/>
      <c r="G683" s="139"/>
      <c r="H683" s="187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  <c r="AE683" s="139"/>
    </row>
    <row r="684" ht="15.75" customHeight="1">
      <c r="A684" s="137"/>
      <c r="B684" s="139"/>
      <c r="C684" s="139"/>
      <c r="D684" s="139"/>
      <c r="E684" s="139"/>
      <c r="F684" s="139"/>
      <c r="G684" s="139"/>
      <c r="H684" s="187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39"/>
      <c r="AD684" s="139"/>
      <c r="AE684" s="139"/>
    </row>
    <row r="685" ht="15.75" customHeight="1">
      <c r="A685" s="137"/>
      <c r="B685" s="139"/>
      <c r="C685" s="139"/>
      <c r="D685" s="139"/>
      <c r="E685" s="139"/>
      <c r="F685" s="139"/>
      <c r="G685" s="139"/>
      <c r="H685" s="187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39"/>
      <c r="AD685" s="139"/>
      <c r="AE685" s="139"/>
    </row>
    <row r="686" ht="15.75" customHeight="1">
      <c r="A686" s="137"/>
      <c r="B686" s="139"/>
      <c r="C686" s="139"/>
      <c r="D686" s="139"/>
      <c r="E686" s="139"/>
      <c r="F686" s="139"/>
      <c r="G686" s="139"/>
      <c r="H686" s="187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  <c r="AE686" s="139"/>
    </row>
    <row r="687" ht="15.75" customHeight="1">
      <c r="A687" s="137"/>
      <c r="B687" s="139"/>
      <c r="C687" s="139"/>
      <c r="D687" s="139"/>
      <c r="E687" s="139"/>
      <c r="F687" s="139"/>
      <c r="G687" s="139"/>
      <c r="H687" s="187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39"/>
      <c r="AD687" s="139"/>
      <c r="AE687" s="139"/>
    </row>
    <row r="688" ht="15.75" customHeight="1">
      <c r="A688" s="137"/>
      <c r="B688" s="139"/>
      <c r="C688" s="139"/>
      <c r="D688" s="139"/>
      <c r="E688" s="139"/>
      <c r="F688" s="139"/>
      <c r="G688" s="139"/>
      <c r="H688" s="187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  <c r="AE688" s="139"/>
    </row>
    <row r="689" ht="15.75" customHeight="1">
      <c r="A689" s="137"/>
      <c r="B689" s="139"/>
      <c r="C689" s="139"/>
      <c r="D689" s="139"/>
      <c r="E689" s="139"/>
      <c r="F689" s="139"/>
      <c r="G689" s="139"/>
      <c r="H689" s="187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39"/>
      <c r="AD689" s="139"/>
      <c r="AE689" s="139"/>
    </row>
    <row r="690" ht="15.75" customHeight="1">
      <c r="A690" s="137"/>
      <c r="B690" s="139"/>
      <c r="C690" s="139"/>
      <c r="D690" s="139"/>
      <c r="E690" s="139"/>
      <c r="F690" s="139"/>
      <c r="G690" s="139"/>
      <c r="H690" s="187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  <c r="AE690" s="139"/>
    </row>
    <row r="691" ht="15.75" customHeight="1">
      <c r="A691" s="137"/>
      <c r="B691" s="139"/>
      <c r="C691" s="139"/>
      <c r="D691" s="139"/>
      <c r="E691" s="139"/>
      <c r="F691" s="139"/>
      <c r="G691" s="139"/>
      <c r="H691" s="187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39"/>
      <c r="AD691" s="139"/>
      <c r="AE691" s="139"/>
    </row>
    <row r="692" ht="15.75" customHeight="1">
      <c r="A692" s="137"/>
      <c r="B692" s="139"/>
      <c r="C692" s="139"/>
      <c r="D692" s="139"/>
      <c r="E692" s="139"/>
      <c r="F692" s="139"/>
      <c r="G692" s="139"/>
      <c r="H692" s="187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  <c r="AE692" s="139"/>
    </row>
    <row r="693" ht="15.75" customHeight="1">
      <c r="A693" s="137"/>
      <c r="B693" s="139"/>
      <c r="C693" s="139"/>
      <c r="D693" s="139"/>
      <c r="E693" s="139"/>
      <c r="F693" s="139"/>
      <c r="G693" s="139"/>
      <c r="H693" s="187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39"/>
      <c r="AD693" s="139"/>
      <c r="AE693" s="139"/>
    </row>
    <row r="694" ht="15.75" customHeight="1">
      <c r="A694" s="137"/>
      <c r="B694" s="139"/>
      <c r="C694" s="139"/>
      <c r="D694" s="139"/>
      <c r="E694" s="139"/>
      <c r="F694" s="139"/>
      <c r="G694" s="139"/>
      <c r="H694" s="187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  <c r="AE694" s="139"/>
    </row>
    <row r="695" ht="15.75" customHeight="1">
      <c r="A695" s="137"/>
      <c r="B695" s="139"/>
      <c r="C695" s="139"/>
      <c r="D695" s="139"/>
      <c r="E695" s="139"/>
      <c r="F695" s="139"/>
      <c r="G695" s="139"/>
      <c r="H695" s="187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39"/>
      <c r="AD695" s="139"/>
      <c r="AE695" s="139"/>
    </row>
    <row r="696" ht="15.75" customHeight="1">
      <c r="A696" s="137"/>
      <c r="B696" s="139"/>
      <c r="C696" s="139"/>
      <c r="D696" s="139"/>
      <c r="E696" s="139"/>
      <c r="F696" s="139"/>
      <c r="G696" s="139"/>
      <c r="H696" s="187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39"/>
      <c r="AD696" s="139"/>
      <c r="AE696" s="139"/>
    </row>
    <row r="697" ht="15.75" customHeight="1">
      <c r="A697" s="137"/>
      <c r="B697" s="139"/>
      <c r="C697" s="139"/>
      <c r="D697" s="139"/>
      <c r="E697" s="139"/>
      <c r="F697" s="139"/>
      <c r="G697" s="139"/>
      <c r="H697" s="187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  <c r="AC697" s="139"/>
      <c r="AD697" s="139"/>
      <c r="AE697" s="139"/>
    </row>
    <row r="698" ht="15.75" customHeight="1">
      <c r="A698" s="137"/>
      <c r="B698" s="139"/>
      <c r="C698" s="139"/>
      <c r="D698" s="139"/>
      <c r="E698" s="139"/>
      <c r="F698" s="139"/>
      <c r="G698" s="139"/>
      <c r="H698" s="187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39"/>
      <c r="AD698" s="139"/>
      <c r="AE698" s="139"/>
    </row>
    <row r="699" ht="15.75" customHeight="1">
      <c r="A699" s="137"/>
      <c r="B699" s="139"/>
      <c r="C699" s="139"/>
      <c r="D699" s="139"/>
      <c r="E699" s="139"/>
      <c r="F699" s="139"/>
      <c r="G699" s="139"/>
      <c r="H699" s="187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  <c r="AC699" s="139"/>
      <c r="AD699" s="139"/>
      <c r="AE699" s="139"/>
    </row>
    <row r="700" ht="15.75" customHeight="1">
      <c r="A700" s="137"/>
      <c r="B700" s="139"/>
      <c r="C700" s="139"/>
      <c r="D700" s="139"/>
      <c r="E700" s="139"/>
      <c r="F700" s="139"/>
      <c r="G700" s="139"/>
      <c r="H700" s="187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39"/>
      <c r="AD700" s="139"/>
      <c r="AE700" s="139"/>
    </row>
    <row r="701" ht="15.75" customHeight="1">
      <c r="A701" s="137"/>
      <c r="B701" s="139"/>
      <c r="C701" s="139"/>
      <c r="D701" s="139"/>
      <c r="E701" s="139"/>
      <c r="F701" s="139"/>
      <c r="G701" s="139"/>
      <c r="H701" s="187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  <c r="AC701" s="139"/>
      <c r="AD701" s="139"/>
      <c r="AE701" s="139"/>
    </row>
    <row r="702" ht="15.75" customHeight="1">
      <c r="A702" s="137"/>
      <c r="B702" s="139"/>
      <c r="C702" s="139"/>
      <c r="D702" s="139"/>
      <c r="E702" s="139"/>
      <c r="F702" s="139"/>
      <c r="G702" s="139"/>
      <c r="H702" s="187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  <c r="AC702" s="139"/>
      <c r="AD702" s="139"/>
      <c r="AE702" s="139"/>
    </row>
    <row r="703" ht="15.75" customHeight="1">
      <c r="A703" s="137"/>
      <c r="B703" s="139"/>
      <c r="C703" s="139"/>
      <c r="D703" s="139"/>
      <c r="E703" s="139"/>
      <c r="F703" s="139"/>
      <c r="G703" s="139"/>
      <c r="H703" s="187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  <c r="AC703" s="139"/>
      <c r="AD703" s="139"/>
      <c r="AE703" s="139"/>
    </row>
    <row r="704" ht="15.75" customHeight="1">
      <c r="A704" s="137"/>
      <c r="B704" s="139"/>
      <c r="C704" s="139"/>
      <c r="D704" s="139"/>
      <c r="E704" s="139"/>
      <c r="F704" s="139"/>
      <c r="G704" s="139"/>
      <c r="H704" s="187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  <c r="AB704" s="139"/>
      <c r="AC704" s="139"/>
      <c r="AD704" s="139"/>
      <c r="AE704" s="139"/>
    </row>
    <row r="705" ht="15.75" customHeight="1">
      <c r="A705" s="137"/>
      <c r="B705" s="139"/>
      <c r="C705" s="139"/>
      <c r="D705" s="139"/>
      <c r="E705" s="139"/>
      <c r="F705" s="139"/>
      <c r="G705" s="139"/>
      <c r="H705" s="187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39"/>
      <c r="AD705" s="139"/>
      <c r="AE705" s="139"/>
    </row>
    <row r="706" ht="15.75" customHeight="1">
      <c r="A706" s="137"/>
      <c r="B706" s="139"/>
      <c r="C706" s="139"/>
      <c r="D706" s="139"/>
      <c r="E706" s="139"/>
      <c r="F706" s="139"/>
      <c r="G706" s="139"/>
      <c r="H706" s="187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  <c r="AC706" s="139"/>
      <c r="AD706" s="139"/>
      <c r="AE706" s="139"/>
    </row>
    <row r="707" ht="15.75" customHeight="1">
      <c r="A707" s="137"/>
      <c r="B707" s="139"/>
      <c r="C707" s="139"/>
      <c r="D707" s="139"/>
      <c r="E707" s="139"/>
      <c r="F707" s="139"/>
      <c r="G707" s="139"/>
      <c r="H707" s="187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39"/>
      <c r="AD707" s="139"/>
      <c r="AE707" s="139"/>
    </row>
    <row r="708" ht="15.75" customHeight="1">
      <c r="A708" s="137"/>
      <c r="B708" s="139"/>
      <c r="C708" s="139"/>
      <c r="D708" s="139"/>
      <c r="E708" s="139"/>
      <c r="F708" s="139"/>
      <c r="G708" s="139"/>
      <c r="H708" s="187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  <c r="AB708" s="139"/>
      <c r="AC708" s="139"/>
      <c r="AD708" s="139"/>
      <c r="AE708" s="139"/>
    </row>
    <row r="709" ht="15.75" customHeight="1">
      <c r="A709" s="137"/>
      <c r="B709" s="139"/>
      <c r="C709" s="139"/>
      <c r="D709" s="139"/>
      <c r="E709" s="139"/>
      <c r="F709" s="139"/>
      <c r="G709" s="139"/>
      <c r="H709" s="187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  <c r="AC709" s="139"/>
      <c r="AD709" s="139"/>
      <c r="AE709" s="139"/>
    </row>
    <row r="710" ht="15.75" customHeight="1">
      <c r="A710" s="137"/>
      <c r="B710" s="139"/>
      <c r="C710" s="139"/>
      <c r="D710" s="139"/>
      <c r="E710" s="139"/>
      <c r="F710" s="139"/>
      <c r="G710" s="139"/>
      <c r="H710" s="187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  <c r="AB710" s="139"/>
      <c r="AC710" s="139"/>
      <c r="AD710" s="139"/>
      <c r="AE710" s="139"/>
    </row>
    <row r="711" ht="15.75" customHeight="1">
      <c r="A711" s="137"/>
      <c r="B711" s="139"/>
      <c r="C711" s="139"/>
      <c r="D711" s="139"/>
      <c r="E711" s="139"/>
      <c r="F711" s="139"/>
      <c r="G711" s="139"/>
      <c r="H711" s="187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  <c r="AC711" s="139"/>
      <c r="AD711" s="139"/>
      <c r="AE711" s="139"/>
    </row>
    <row r="712" ht="15.75" customHeight="1">
      <c r="A712" s="137"/>
      <c r="B712" s="139"/>
      <c r="C712" s="139"/>
      <c r="D712" s="139"/>
      <c r="E712" s="139"/>
      <c r="F712" s="139"/>
      <c r="G712" s="139"/>
      <c r="H712" s="187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  <c r="AB712" s="139"/>
      <c r="AC712" s="139"/>
      <c r="AD712" s="139"/>
      <c r="AE712" s="139"/>
    </row>
    <row r="713" ht="15.75" customHeight="1">
      <c r="A713" s="137"/>
      <c r="B713" s="139"/>
      <c r="C713" s="139"/>
      <c r="D713" s="139"/>
      <c r="E713" s="139"/>
      <c r="F713" s="139"/>
      <c r="G713" s="139"/>
      <c r="H713" s="187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39"/>
      <c r="AD713" s="139"/>
      <c r="AE713" s="139"/>
    </row>
    <row r="714" ht="15.75" customHeight="1">
      <c r="A714" s="137"/>
      <c r="B714" s="139"/>
      <c r="C714" s="139"/>
      <c r="D714" s="139"/>
      <c r="E714" s="139"/>
      <c r="F714" s="139"/>
      <c r="G714" s="139"/>
      <c r="H714" s="187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  <c r="AB714" s="139"/>
      <c r="AC714" s="139"/>
      <c r="AD714" s="139"/>
      <c r="AE714" s="139"/>
    </row>
    <row r="715" ht="15.75" customHeight="1">
      <c r="A715" s="137"/>
      <c r="B715" s="139"/>
      <c r="C715" s="139"/>
      <c r="D715" s="139"/>
      <c r="E715" s="139"/>
      <c r="F715" s="139"/>
      <c r="G715" s="139"/>
      <c r="H715" s="187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  <c r="AC715" s="139"/>
      <c r="AD715" s="139"/>
      <c r="AE715" s="139"/>
    </row>
    <row r="716" ht="15.75" customHeight="1">
      <c r="A716" s="137"/>
      <c r="B716" s="139"/>
      <c r="C716" s="139"/>
      <c r="D716" s="139"/>
      <c r="E716" s="139"/>
      <c r="F716" s="139"/>
      <c r="G716" s="139"/>
      <c r="H716" s="187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  <c r="AC716" s="139"/>
      <c r="AD716" s="139"/>
      <c r="AE716" s="139"/>
    </row>
    <row r="717" ht="15.75" customHeight="1">
      <c r="A717" s="137"/>
      <c r="B717" s="139"/>
      <c r="C717" s="139"/>
      <c r="D717" s="139"/>
      <c r="E717" s="139"/>
      <c r="F717" s="139"/>
      <c r="G717" s="139"/>
      <c r="H717" s="187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39"/>
      <c r="AD717" s="139"/>
      <c r="AE717" s="139"/>
    </row>
    <row r="718" ht="15.75" customHeight="1">
      <c r="A718" s="137"/>
      <c r="B718" s="139"/>
      <c r="C718" s="139"/>
      <c r="D718" s="139"/>
      <c r="E718" s="139"/>
      <c r="F718" s="139"/>
      <c r="G718" s="139"/>
      <c r="H718" s="187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  <c r="AC718" s="139"/>
      <c r="AD718" s="139"/>
      <c r="AE718" s="139"/>
    </row>
    <row r="719" ht="15.75" customHeight="1">
      <c r="A719" s="137"/>
      <c r="B719" s="139"/>
      <c r="C719" s="139"/>
      <c r="D719" s="139"/>
      <c r="E719" s="139"/>
      <c r="F719" s="139"/>
      <c r="G719" s="139"/>
      <c r="H719" s="187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  <c r="AC719" s="139"/>
      <c r="AD719" s="139"/>
      <c r="AE719" s="139"/>
    </row>
    <row r="720" ht="15.75" customHeight="1">
      <c r="A720" s="137"/>
      <c r="B720" s="139"/>
      <c r="C720" s="139"/>
      <c r="D720" s="139"/>
      <c r="E720" s="139"/>
      <c r="F720" s="139"/>
      <c r="G720" s="139"/>
      <c r="H720" s="187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  <c r="AC720" s="139"/>
      <c r="AD720" s="139"/>
      <c r="AE720" s="139"/>
    </row>
    <row r="721" ht="15.75" customHeight="1">
      <c r="A721" s="137"/>
      <c r="B721" s="139"/>
      <c r="C721" s="139"/>
      <c r="D721" s="139"/>
      <c r="E721" s="139"/>
      <c r="F721" s="139"/>
      <c r="G721" s="139"/>
      <c r="H721" s="187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39"/>
      <c r="AD721" s="139"/>
      <c r="AE721" s="139"/>
    </row>
    <row r="722" ht="15.75" customHeight="1">
      <c r="A722" s="137"/>
      <c r="B722" s="139"/>
      <c r="C722" s="139"/>
      <c r="D722" s="139"/>
      <c r="E722" s="139"/>
      <c r="F722" s="139"/>
      <c r="G722" s="139"/>
      <c r="H722" s="187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  <c r="AC722" s="139"/>
      <c r="AD722" s="139"/>
      <c r="AE722" s="139"/>
    </row>
    <row r="723" ht="15.75" customHeight="1">
      <c r="A723" s="137"/>
      <c r="B723" s="139"/>
      <c r="C723" s="139"/>
      <c r="D723" s="139"/>
      <c r="E723" s="139"/>
      <c r="F723" s="139"/>
      <c r="G723" s="139"/>
      <c r="H723" s="187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39"/>
      <c r="AD723" s="139"/>
      <c r="AE723" s="139"/>
    </row>
    <row r="724" ht="15.75" customHeight="1">
      <c r="A724" s="137"/>
      <c r="B724" s="139"/>
      <c r="C724" s="139"/>
      <c r="D724" s="139"/>
      <c r="E724" s="139"/>
      <c r="F724" s="139"/>
      <c r="G724" s="139"/>
      <c r="H724" s="187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  <c r="AC724" s="139"/>
      <c r="AD724" s="139"/>
      <c r="AE724" s="139"/>
    </row>
    <row r="725" ht="15.75" customHeight="1">
      <c r="A725" s="137"/>
      <c r="B725" s="139"/>
      <c r="C725" s="139"/>
      <c r="D725" s="139"/>
      <c r="E725" s="139"/>
      <c r="F725" s="139"/>
      <c r="G725" s="139"/>
      <c r="H725" s="187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39"/>
      <c r="AD725" s="139"/>
      <c r="AE725" s="139"/>
    </row>
    <row r="726" ht="15.75" customHeight="1">
      <c r="A726" s="137"/>
      <c r="B726" s="139"/>
      <c r="C726" s="139"/>
      <c r="D726" s="139"/>
      <c r="E726" s="139"/>
      <c r="F726" s="139"/>
      <c r="G726" s="139"/>
      <c r="H726" s="187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  <c r="AC726" s="139"/>
      <c r="AD726" s="139"/>
      <c r="AE726" s="139"/>
    </row>
    <row r="727" ht="15.75" customHeight="1">
      <c r="A727" s="137"/>
      <c r="B727" s="139"/>
      <c r="C727" s="139"/>
      <c r="D727" s="139"/>
      <c r="E727" s="139"/>
      <c r="F727" s="139"/>
      <c r="G727" s="139"/>
      <c r="H727" s="187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39"/>
      <c r="AD727" s="139"/>
      <c r="AE727" s="139"/>
    </row>
    <row r="728" ht="15.75" customHeight="1">
      <c r="A728" s="137"/>
      <c r="B728" s="139"/>
      <c r="C728" s="139"/>
      <c r="D728" s="139"/>
      <c r="E728" s="139"/>
      <c r="F728" s="139"/>
      <c r="G728" s="139"/>
      <c r="H728" s="187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  <c r="AC728" s="139"/>
      <c r="AD728" s="139"/>
      <c r="AE728" s="139"/>
    </row>
    <row r="729" ht="15.75" customHeight="1">
      <c r="A729" s="137"/>
      <c r="B729" s="139"/>
      <c r="C729" s="139"/>
      <c r="D729" s="139"/>
      <c r="E729" s="139"/>
      <c r="F729" s="139"/>
      <c r="G729" s="139"/>
      <c r="H729" s="187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  <c r="AC729" s="139"/>
      <c r="AD729" s="139"/>
      <c r="AE729" s="139"/>
    </row>
    <row r="730" ht="15.75" customHeight="1">
      <c r="A730" s="137"/>
      <c r="B730" s="139"/>
      <c r="C730" s="139"/>
      <c r="D730" s="139"/>
      <c r="E730" s="139"/>
      <c r="F730" s="139"/>
      <c r="G730" s="139"/>
      <c r="H730" s="187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  <c r="AC730" s="139"/>
      <c r="AD730" s="139"/>
      <c r="AE730" s="139"/>
    </row>
    <row r="731" ht="15.75" customHeight="1">
      <c r="A731" s="137"/>
      <c r="B731" s="139"/>
      <c r="C731" s="139"/>
      <c r="D731" s="139"/>
      <c r="E731" s="139"/>
      <c r="F731" s="139"/>
      <c r="G731" s="139"/>
      <c r="H731" s="187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39"/>
      <c r="AD731" s="139"/>
      <c r="AE731" s="139"/>
    </row>
    <row r="732" ht="15.75" customHeight="1">
      <c r="A732" s="137"/>
      <c r="B732" s="139"/>
      <c r="C732" s="139"/>
      <c r="D732" s="139"/>
      <c r="E732" s="139"/>
      <c r="F732" s="139"/>
      <c r="G732" s="139"/>
      <c r="H732" s="187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  <c r="AC732" s="139"/>
      <c r="AD732" s="139"/>
      <c r="AE732" s="139"/>
    </row>
    <row r="733" ht="15.75" customHeight="1">
      <c r="A733" s="137"/>
      <c r="B733" s="139"/>
      <c r="C733" s="139"/>
      <c r="D733" s="139"/>
      <c r="E733" s="139"/>
      <c r="F733" s="139"/>
      <c r="G733" s="139"/>
      <c r="H733" s="187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39"/>
      <c r="AD733" s="139"/>
      <c r="AE733" s="139"/>
    </row>
    <row r="734" ht="15.75" customHeight="1">
      <c r="A734" s="137"/>
      <c r="B734" s="139"/>
      <c r="C734" s="139"/>
      <c r="D734" s="139"/>
      <c r="E734" s="139"/>
      <c r="F734" s="139"/>
      <c r="G734" s="139"/>
      <c r="H734" s="187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  <c r="AC734" s="139"/>
      <c r="AD734" s="139"/>
      <c r="AE734" s="139"/>
    </row>
    <row r="735" ht="15.75" customHeight="1">
      <c r="A735" s="137"/>
      <c r="B735" s="139"/>
      <c r="C735" s="139"/>
      <c r="D735" s="139"/>
      <c r="E735" s="139"/>
      <c r="F735" s="139"/>
      <c r="G735" s="139"/>
      <c r="H735" s="187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39"/>
      <c r="AD735" s="139"/>
      <c r="AE735" s="139"/>
    </row>
    <row r="736" ht="15.75" customHeight="1">
      <c r="A736" s="137"/>
      <c r="B736" s="139"/>
      <c r="C736" s="139"/>
      <c r="D736" s="139"/>
      <c r="E736" s="139"/>
      <c r="F736" s="139"/>
      <c r="G736" s="139"/>
      <c r="H736" s="187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  <c r="AC736" s="139"/>
      <c r="AD736" s="139"/>
      <c r="AE736" s="139"/>
    </row>
    <row r="737" ht="15.75" customHeight="1">
      <c r="A737" s="137"/>
      <c r="B737" s="139"/>
      <c r="C737" s="139"/>
      <c r="D737" s="139"/>
      <c r="E737" s="139"/>
      <c r="F737" s="139"/>
      <c r="G737" s="139"/>
      <c r="H737" s="187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  <c r="AC737" s="139"/>
      <c r="AD737" s="139"/>
      <c r="AE737" s="139"/>
    </row>
    <row r="738" ht="15.75" customHeight="1">
      <c r="A738" s="137"/>
      <c r="B738" s="139"/>
      <c r="C738" s="139"/>
      <c r="D738" s="139"/>
      <c r="E738" s="139"/>
      <c r="F738" s="139"/>
      <c r="G738" s="139"/>
      <c r="H738" s="187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  <c r="AC738" s="139"/>
      <c r="AD738" s="139"/>
      <c r="AE738" s="139"/>
    </row>
    <row r="739" ht="15.75" customHeight="1">
      <c r="A739" s="137"/>
      <c r="B739" s="139"/>
      <c r="C739" s="139"/>
      <c r="D739" s="139"/>
      <c r="E739" s="139"/>
      <c r="F739" s="139"/>
      <c r="G739" s="139"/>
      <c r="H739" s="187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  <c r="AC739" s="139"/>
      <c r="AD739" s="139"/>
      <c r="AE739" s="139"/>
    </row>
    <row r="740" ht="15.75" customHeight="1">
      <c r="A740" s="137"/>
      <c r="B740" s="139"/>
      <c r="C740" s="139"/>
      <c r="D740" s="139"/>
      <c r="E740" s="139"/>
      <c r="F740" s="139"/>
      <c r="G740" s="139"/>
      <c r="H740" s="187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  <c r="AC740" s="139"/>
      <c r="AD740" s="139"/>
      <c r="AE740" s="139"/>
    </row>
    <row r="741" ht="15.75" customHeight="1">
      <c r="A741" s="137"/>
      <c r="B741" s="139"/>
      <c r="C741" s="139"/>
      <c r="D741" s="139"/>
      <c r="E741" s="139"/>
      <c r="F741" s="139"/>
      <c r="G741" s="139"/>
      <c r="H741" s="187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39"/>
      <c r="AD741" s="139"/>
      <c r="AE741" s="139"/>
    </row>
    <row r="742" ht="15.75" customHeight="1">
      <c r="A742" s="137"/>
      <c r="B742" s="139"/>
      <c r="C742" s="139"/>
      <c r="D742" s="139"/>
      <c r="E742" s="139"/>
      <c r="F742" s="139"/>
      <c r="G742" s="139"/>
      <c r="H742" s="187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39"/>
      <c r="AD742" s="139"/>
      <c r="AE742" s="139"/>
    </row>
    <row r="743" ht="15.75" customHeight="1">
      <c r="A743" s="137"/>
      <c r="B743" s="139"/>
      <c r="C743" s="139"/>
      <c r="D743" s="139"/>
      <c r="E743" s="139"/>
      <c r="F743" s="139"/>
      <c r="G743" s="139"/>
      <c r="H743" s="187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39"/>
      <c r="AD743" s="139"/>
      <c r="AE743" s="139"/>
    </row>
    <row r="744" ht="15.75" customHeight="1">
      <c r="A744" s="137"/>
      <c r="B744" s="139"/>
      <c r="C744" s="139"/>
      <c r="D744" s="139"/>
      <c r="E744" s="139"/>
      <c r="F744" s="139"/>
      <c r="G744" s="139"/>
      <c r="H744" s="187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</row>
    <row r="745" ht="15.75" customHeight="1">
      <c r="A745" s="137"/>
      <c r="B745" s="139"/>
      <c r="C745" s="139"/>
      <c r="D745" s="139"/>
      <c r="E745" s="139"/>
      <c r="F745" s="139"/>
      <c r="G745" s="139"/>
      <c r="H745" s="187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39"/>
      <c r="AD745" s="139"/>
      <c r="AE745" s="139"/>
    </row>
    <row r="746" ht="15.75" customHeight="1">
      <c r="A746" s="137"/>
      <c r="B746" s="139"/>
      <c r="C746" s="139"/>
      <c r="D746" s="139"/>
      <c r="E746" s="139"/>
      <c r="F746" s="139"/>
      <c r="G746" s="139"/>
      <c r="H746" s="187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</row>
    <row r="747" ht="15.75" customHeight="1">
      <c r="A747" s="137"/>
      <c r="B747" s="139"/>
      <c r="C747" s="139"/>
      <c r="D747" s="139"/>
      <c r="E747" s="139"/>
      <c r="F747" s="139"/>
      <c r="G747" s="139"/>
      <c r="H747" s="187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  <c r="AC747" s="139"/>
      <c r="AD747" s="139"/>
      <c r="AE747" s="139"/>
    </row>
    <row r="748" ht="15.75" customHeight="1">
      <c r="A748" s="137"/>
      <c r="B748" s="139"/>
      <c r="C748" s="139"/>
      <c r="D748" s="139"/>
      <c r="E748" s="139"/>
      <c r="F748" s="139"/>
      <c r="G748" s="139"/>
      <c r="H748" s="187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  <c r="AB748" s="139"/>
      <c r="AC748" s="139"/>
      <c r="AD748" s="139"/>
      <c r="AE748" s="139"/>
    </row>
    <row r="749" ht="15.75" customHeight="1">
      <c r="A749" s="137"/>
      <c r="B749" s="139"/>
      <c r="C749" s="139"/>
      <c r="D749" s="139"/>
      <c r="E749" s="139"/>
      <c r="F749" s="139"/>
      <c r="G749" s="139"/>
      <c r="H749" s="187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  <c r="AB749" s="139"/>
      <c r="AC749" s="139"/>
      <c r="AD749" s="139"/>
      <c r="AE749" s="139"/>
    </row>
    <row r="750" ht="15.75" customHeight="1">
      <c r="A750" s="137"/>
      <c r="B750" s="139"/>
      <c r="C750" s="139"/>
      <c r="D750" s="139"/>
      <c r="E750" s="139"/>
      <c r="F750" s="139"/>
      <c r="G750" s="139"/>
      <c r="H750" s="187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  <c r="AC750" s="139"/>
      <c r="AD750" s="139"/>
      <c r="AE750" s="139"/>
    </row>
    <row r="751" ht="15.75" customHeight="1">
      <c r="A751" s="137"/>
      <c r="B751" s="139"/>
      <c r="C751" s="139"/>
      <c r="D751" s="139"/>
      <c r="E751" s="139"/>
      <c r="F751" s="139"/>
      <c r="G751" s="139"/>
      <c r="H751" s="187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  <c r="AB751" s="139"/>
      <c r="AC751" s="139"/>
      <c r="AD751" s="139"/>
      <c r="AE751" s="139"/>
    </row>
    <row r="752" ht="15.75" customHeight="1">
      <c r="A752" s="137"/>
      <c r="B752" s="139"/>
      <c r="C752" s="139"/>
      <c r="D752" s="139"/>
      <c r="E752" s="139"/>
      <c r="F752" s="139"/>
      <c r="G752" s="139"/>
      <c r="H752" s="187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  <c r="AB752" s="139"/>
      <c r="AC752" s="139"/>
      <c r="AD752" s="139"/>
      <c r="AE752" s="139"/>
    </row>
    <row r="753" ht="15.75" customHeight="1">
      <c r="A753" s="137"/>
      <c r="B753" s="139"/>
      <c r="C753" s="139"/>
      <c r="D753" s="139"/>
      <c r="E753" s="139"/>
      <c r="F753" s="139"/>
      <c r="G753" s="139"/>
      <c r="H753" s="187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  <c r="AB753" s="139"/>
      <c r="AC753" s="139"/>
      <c r="AD753" s="139"/>
      <c r="AE753" s="139"/>
    </row>
    <row r="754" ht="15.75" customHeight="1">
      <c r="A754" s="137"/>
      <c r="B754" s="139"/>
      <c r="C754" s="139"/>
      <c r="D754" s="139"/>
      <c r="E754" s="139"/>
      <c r="F754" s="139"/>
      <c r="G754" s="139"/>
      <c r="H754" s="187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  <c r="AB754" s="139"/>
      <c r="AC754" s="139"/>
      <c r="AD754" s="139"/>
      <c r="AE754" s="139"/>
    </row>
    <row r="755" ht="15.75" customHeight="1">
      <c r="A755" s="137"/>
      <c r="B755" s="139"/>
      <c r="C755" s="139"/>
      <c r="D755" s="139"/>
      <c r="E755" s="139"/>
      <c r="F755" s="139"/>
      <c r="G755" s="139"/>
      <c r="H755" s="187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  <c r="AC755" s="139"/>
      <c r="AD755" s="139"/>
      <c r="AE755" s="139"/>
    </row>
    <row r="756" ht="15.75" customHeight="1">
      <c r="A756" s="137"/>
      <c r="B756" s="139"/>
      <c r="C756" s="139"/>
      <c r="D756" s="139"/>
      <c r="E756" s="139"/>
      <c r="F756" s="139"/>
      <c r="G756" s="139"/>
      <c r="H756" s="187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  <c r="AC756" s="139"/>
      <c r="AD756" s="139"/>
      <c r="AE756" s="139"/>
    </row>
    <row r="757" ht="15.75" customHeight="1">
      <c r="A757" s="137"/>
      <c r="B757" s="139"/>
      <c r="C757" s="139"/>
      <c r="D757" s="139"/>
      <c r="E757" s="139"/>
      <c r="F757" s="139"/>
      <c r="G757" s="139"/>
      <c r="H757" s="187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  <c r="AB757" s="139"/>
      <c r="AC757" s="139"/>
      <c r="AD757" s="139"/>
      <c r="AE757" s="139"/>
    </row>
    <row r="758" ht="15.75" customHeight="1">
      <c r="A758" s="137"/>
      <c r="B758" s="139"/>
      <c r="C758" s="139"/>
      <c r="D758" s="139"/>
      <c r="E758" s="139"/>
      <c r="F758" s="139"/>
      <c r="G758" s="139"/>
      <c r="H758" s="187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  <c r="AC758" s="139"/>
      <c r="AD758" s="139"/>
      <c r="AE758" s="139"/>
    </row>
    <row r="759" ht="15.75" customHeight="1">
      <c r="A759" s="137"/>
      <c r="B759" s="139"/>
      <c r="C759" s="139"/>
      <c r="D759" s="139"/>
      <c r="E759" s="139"/>
      <c r="F759" s="139"/>
      <c r="G759" s="139"/>
      <c r="H759" s="187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  <c r="AB759" s="139"/>
      <c r="AC759" s="139"/>
      <c r="AD759" s="139"/>
      <c r="AE759" s="139"/>
    </row>
    <row r="760" ht="15.75" customHeight="1">
      <c r="A760" s="137"/>
      <c r="B760" s="139"/>
      <c r="C760" s="139"/>
      <c r="D760" s="139"/>
      <c r="E760" s="139"/>
      <c r="F760" s="139"/>
      <c r="G760" s="139"/>
      <c r="H760" s="187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  <c r="AC760" s="139"/>
      <c r="AD760" s="139"/>
      <c r="AE760" s="139"/>
    </row>
    <row r="761" ht="15.75" customHeight="1">
      <c r="A761" s="137"/>
      <c r="B761" s="139"/>
      <c r="C761" s="139"/>
      <c r="D761" s="139"/>
      <c r="E761" s="139"/>
      <c r="F761" s="139"/>
      <c r="G761" s="139"/>
      <c r="H761" s="187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  <c r="AB761" s="139"/>
      <c r="AC761" s="139"/>
      <c r="AD761" s="139"/>
      <c r="AE761" s="139"/>
    </row>
    <row r="762" ht="15.75" customHeight="1">
      <c r="A762" s="137"/>
      <c r="B762" s="139"/>
      <c r="C762" s="139"/>
      <c r="D762" s="139"/>
      <c r="E762" s="139"/>
      <c r="F762" s="139"/>
      <c r="G762" s="139"/>
      <c r="H762" s="187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  <c r="AC762" s="139"/>
      <c r="AD762" s="139"/>
      <c r="AE762" s="139"/>
    </row>
    <row r="763" ht="15.75" customHeight="1">
      <c r="A763" s="137"/>
      <c r="B763" s="139"/>
      <c r="C763" s="139"/>
      <c r="D763" s="139"/>
      <c r="E763" s="139"/>
      <c r="F763" s="139"/>
      <c r="G763" s="139"/>
      <c r="H763" s="187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  <c r="AB763" s="139"/>
      <c r="AC763" s="139"/>
      <c r="AD763" s="139"/>
      <c r="AE763" s="139"/>
    </row>
    <row r="764" ht="15.75" customHeight="1">
      <c r="A764" s="137"/>
      <c r="B764" s="139"/>
      <c r="C764" s="139"/>
      <c r="D764" s="139"/>
      <c r="E764" s="139"/>
      <c r="F764" s="139"/>
      <c r="G764" s="139"/>
      <c r="H764" s="187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  <c r="AC764" s="139"/>
      <c r="AD764" s="139"/>
      <c r="AE764" s="139"/>
    </row>
    <row r="765" ht="15.75" customHeight="1">
      <c r="A765" s="137"/>
      <c r="B765" s="139"/>
      <c r="C765" s="139"/>
      <c r="D765" s="139"/>
      <c r="E765" s="139"/>
      <c r="F765" s="139"/>
      <c r="G765" s="139"/>
      <c r="H765" s="187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  <c r="AB765" s="139"/>
      <c r="AC765" s="139"/>
      <c r="AD765" s="139"/>
      <c r="AE765" s="139"/>
    </row>
    <row r="766" ht="15.75" customHeight="1">
      <c r="A766" s="137"/>
      <c r="B766" s="139"/>
      <c r="C766" s="139"/>
      <c r="D766" s="139"/>
      <c r="E766" s="139"/>
      <c r="F766" s="139"/>
      <c r="G766" s="139"/>
      <c r="H766" s="187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  <c r="AC766" s="139"/>
      <c r="AD766" s="139"/>
      <c r="AE766" s="139"/>
    </row>
    <row r="767" ht="15.75" customHeight="1">
      <c r="A767" s="137"/>
      <c r="B767" s="139"/>
      <c r="C767" s="139"/>
      <c r="D767" s="139"/>
      <c r="E767" s="139"/>
      <c r="F767" s="139"/>
      <c r="G767" s="139"/>
      <c r="H767" s="187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  <c r="AB767" s="139"/>
      <c r="AC767" s="139"/>
      <c r="AD767" s="139"/>
      <c r="AE767" s="139"/>
    </row>
    <row r="768" ht="15.75" customHeight="1">
      <c r="A768" s="137"/>
      <c r="B768" s="139"/>
      <c r="C768" s="139"/>
      <c r="D768" s="139"/>
      <c r="E768" s="139"/>
      <c r="F768" s="139"/>
      <c r="G768" s="139"/>
      <c r="H768" s="187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  <c r="AC768" s="139"/>
      <c r="AD768" s="139"/>
      <c r="AE768" s="139"/>
    </row>
    <row r="769" ht="15.75" customHeight="1">
      <c r="A769" s="137"/>
      <c r="B769" s="139"/>
      <c r="C769" s="139"/>
      <c r="D769" s="139"/>
      <c r="E769" s="139"/>
      <c r="F769" s="139"/>
      <c r="G769" s="139"/>
      <c r="H769" s="187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  <c r="AB769" s="139"/>
      <c r="AC769" s="139"/>
      <c r="AD769" s="139"/>
      <c r="AE769" s="139"/>
    </row>
    <row r="770" ht="15.75" customHeight="1">
      <c r="A770" s="137"/>
      <c r="B770" s="139"/>
      <c r="C770" s="139"/>
      <c r="D770" s="139"/>
      <c r="E770" s="139"/>
      <c r="F770" s="139"/>
      <c r="G770" s="139"/>
      <c r="H770" s="187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  <c r="AB770" s="139"/>
      <c r="AC770" s="139"/>
      <c r="AD770" s="139"/>
      <c r="AE770" s="139"/>
    </row>
    <row r="771" ht="15.75" customHeight="1">
      <c r="A771" s="137"/>
      <c r="B771" s="139"/>
      <c r="C771" s="139"/>
      <c r="D771" s="139"/>
      <c r="E771" s="139"/>
      <c r="F771" s="139"/>
      <c r="G771" s="139"/>
      <c r="H771" s="187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  <c r="AC771" s="139"/>
      <c r="AD771" s="139"/>
      <c r="AE771" s="139"/>
    </row>
    <row r="772" ht="15.75" customHeight="1">
      <c r="A772" s="137"/>
      <c r="B772" s="139"/>
      <c r="C772" s="139"/>
      <c r="D772" s="139"/>
      <c r="E772" s="139"/>
      <c r="F772" s="139"/>
      <c r="G772" s="139"/>
      <c r="H772" s="187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  <c r="AB772" s="139"/>
      <c r="AC772" s="139"/>
      <c r="AD772" s="139"/>
      <c r="AE772" s="139"/>
    </row>
    <row r="773" ht="15.75" customHeight="1">
      <c r="A773" s="137"/>
      <c r="B773" s="139"/>
      <c r="C773" s="139"/>
      <c r="D773" s="139"/>
      <c r="E773" s="139"/>
      <c r="F773" s="139"/>
      <c r="G773" s="139"/>
      <c r="H773" s="187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  <c r="AB773" s="139"/>
      <c r="AC773" s="139"/>
      <c r="AD773" s="139"/>
      <c r="AE773" s="139"/>
    </row>
    <row r="774" ht="15.75" customHeight="1">
      <c r="A774" s="137"/>
      <c r="B774" s="139"/>
      <c r="C774" s="139"/>
      <c r="D774" s="139"/>
      <c r="E774" s="139"/>
      <c r="F774" s="139"/>
      <c r="G774" s="139"/>
      <c r="H774" s="187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  <c r="AB774" s="139"/>
      <c r="AC774" s="139"/>
      <c r="AD774" s="139"/>
      <c r="AE774" s="139"/>
    </row>
    <row r="775" ht="15.75" customHeight="1">
      <c r="A775" s="137"/>
      <c r="B775" s="139"/>
      <c r="C775" s="139"/>
      <c r="D775" s="139"/>
      <c r="E775" s="139"/>
      <c r="F775" s="139"/>
      <c r="G775" s="139"/>
      <c r="H775" s="187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  <c r="AC775" s="139"/>
      <c r="AD775" s="139"/>
      <c r="AE775" s="139"/>
    </row>
    <row r="776" ht="15.75" customHeight="1">
      <c r="A776" s="137"/>
      <c r="B776" s="139"/>
      <c r="C776" s="139"/>
      <c r="D776" s="139"/>
      <c r="E776" s="139"/>
      <c r="F776" s="139"/>
      <c r="G776" s="139"/>
      <c r="H776" s="187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  <c r="AB776" s="139"/>
      <c r="AC776" s="139"/>
      <c r="AD776" s="139"/>
      <c r="AE776" s="139"/>
    </row>
    <row r="777" ht="15.75" customHeight="1">
      <c r="A777" s="137"/>
      <c r="B777" s="139"/>
      <c r="C777" s="139"/>
      <c r="D777" s="139"/>
      <c r="E777" s="139"/>
      <c r="F777" s="139"/>
      <c r="G777" s="139"/>
      <c r="H777" s="187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  <c r="AB777" s="139"/>
      <c r="AC777" s="139"/>
      <c r="AD777" s="139"/>
      <c r="AE777" s="139"/>
    </row>
    <row r="778" ht="15.75" customHeight="1">
      <c r="A778" s="137"/>
      <c r="B778" s="139"/>
      <c r="C778" s="139"/>
      <c r="D778" s="139"/>
      <c r="E778" s="139"/>
      <c r="F778" s="139"/>
      <c r="G778" s="139"/>
      <c r="H778" s="187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  <c r="AB778" s="139"/>
      <c r="AC778" s="139"/>
      <c r="AD778" s="139"/>
      <c r="AE778" s="139"/>
    </row>
    <row r="779" ht="15.75" customHeight="1">
      <c r="A779" s="137"/>
      <c r="B779" s="139"/>
      <c r="C779" s="139"/>
      <c r="D779" s="139"/>
      <c r="E779" s="139"/>
      <c r="F779" s="139"/>
      <c r="G779" s="139"/>
      <c r="H779" s="187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  <c r="AB779" s="139"/>
      <c r="AC779" s="139"/>
      <c r="AD779" s="139"/>
      <c r="AE779" s="139"/>
    </row>
    <row r="780" ht="15.75" customHeight="1">
      <c r="A780" s="137"/>
      <c r="B780" s="139"/>
      <c r="C780" s="139"/>
      <c r="D780" s="139"/>
      <c r="E780" s="139"/>
      <c r="F780" s="139"/>
      <c r="G780" s="139"/>
      <c r="H780" s="187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  <c r="AC780" s="139"/>
      <c r="AD780" s="139"/>
      <c r="AE780" s="139"/>
    </row>
    <row r="781" ht="15.75" customHeight="1">
      <c r="A781" s="137"/>
      <c r="B781" s="139"/>
      <c r="C781" s="139"/>
      <c r="D781" s="139"/>
      <c r="E781" s="139"/>
      <c r="F781" s="139"/>
      <c r="G781" s="139"/>
      <c r="H781" s="187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  <c r="AB781" s="139"/>
      <c r="AC781" s="139"/>
      <c r="AD781" s="139"/>
      <c r="AE781" s="139"/>
    </row>
    <row r="782" ht="15.75" customHeight="1">
      <c r="A782" s="137"/>
      <c r="B782" s="139"/>
      <c r="C782" s="139"/>
      <c r="D782" s="139"/>
      <c r="E782" s="139"/>
      <c r="F782" s="139"/>
      <c r="G782" s="139"/>
      <c r="H782" s="187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  <c r="AC782" s="139"/>
      <c r="AD782" s="139"/>
      <c r="AE782" s="139"/>
    </row>
    <row r="783" ht="15.75" customHeight="1">
      <c r="A783" s="137"/>
      <c r="B783" s="139"/>
      <c r="C783" s="139"/>
      <c r="D783" s="139"/>
      <c r="E783" s="139"/>
      <c r="F783" s="139"/>
      <c r="G783" s="139"/>
      <c r="H783" s="187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  <c r="AB783" s="139"/>
      <c r="AC783" s="139"/>
      <c r="AD783" s="139"/>
      <c r="AE783" s="139"/>
    </row>
    <row r="784" ht="15.75" customHeight="1">
      <c r="A784" s="137"/>
      <c r="B784" s="139"/>
      <c r="C784" s="139"/>
      <c r="D784" s="139"/>
      <c r="E784" s="139"/>
      <c r="F784" s="139"/>
      <c r="G784" s="139"/>
      <c r="H784" s="187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  <c r="AB784" s="139"/>
      <c r="AC784" s="139"/>
      <c r="AD784" s="139"/>
      <c r="AE784" s="139"/>
    </row>
    <row r="785" ht="15.75" customHeight="1">
      <c r="A785" s="137"/>
      <c r="B785" s="139"/>
      <c r="C785" s="139"/>
      <c r="D785" s="139"/>
      <c r="E785" s="139"/>
      <c r="F785" s="139"/>
      <c r="G785" s="139"/>
      <c r="H785" s="187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  <c r="AB785" s="139"/>
      <c r="AC785" s="139"/>
      <c r="AD785" s="139"/>
      <c r="AE785" s="139"/>
    </row>
    <row r="786" ht="15.75" customHeight="1">
      <c r="A786" s="137"/>
      <c r="B786" s="139"/>
      <c r="C786" s="139"/>
      <c r="D786" s="139"/>
      <c r="E786" s="139"/>
      <c r="F786" s="139"/>
      <c r="G786" s="139"/>
      <c r="H786" s="187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  <c r="AB786" s="139"/>
      <c r="AC786" s="139"/>
      <c r="AD786" s="139"/>
      <c r="AE786" s="139"/>
    </row>
    <row r="787" ht="15.75" customHeight="1">
      <c r="A787" s="137"/>
      <c r="B787" s="139"/>
      <c r="C787" s="139"/>
      <c r="D787" s="139"/>
      <c r="E787" s="139"/>
      <c r="F787" s="139"/>
      <c r="G787" s="139"/>
      <c r="H787" s="187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  <c r="AB787" s="139"/>
      <c r="AC787" s="139"/>
      <c r="AD787" s="139"/>
      <c r="AE787" s="139"/>
    </row>
    <row r="788" ht="15.75" customHeight="1">
      <c r="A788" s="137"/>
      <c r="B788" s="139"/>
      <c r="C788" s="139"/>
      <c r="D788" s="139"/>
      <c r="E788" s="139"/>
      <c r="F788" s="139"/>
      <c r="G788" s="139"/>
      <c r="H788" s="187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  <c r="AB788" s="139"/>
      <c r="AC788" s="139"/>
      <c r="AD788" s="139"/>
      <c r="AE788" s="139"/>
    </row>
    <row r="789" ht="15.75" customHeight="1">
      <c r="A789" s="137"/>
      <c r="B789" s="139"/>
      <c r="C789" s="139"/>
      <c r="D789" s="139"/>
      <c r="E789" s="139"/>
      <c r="F789" s="139"/>
      <c r="G789" s="139"/>
      <c r="H789" s="187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  <c r="AB789" s="139"/>
      <c r="AC789" s="139"/>
      <c r="AD789" s="139"/>
      <c r="AE789" s="139"/>
    </row>
    <row r="790" ht="15.75" customHeight="1">
      <c r="A790" s="137"/>
      <c r="B790" s="139"/>
      <c r="C790" s="139"/>
      <c r="D790" s="139"/>
      <c r="E790" s="139"/>
      <c r="F790" s="139"/>
      <c r="G790" s="139"/>
      <c r="H790" s="187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  <c r="AC790" s="139"/>
      <c r="AD790" s="139"/>
      <c r="AE790" s="139"/>
    </row>
    <row r="791" ht="15.75" customHeight="1">
      <c r="A791" s="137"/>
      <c r="B791" s="139"/>
      <c r="C791" s="139"/>
      <c r="D791" s="139"/>
      <c r="E791" s="139"/>
      <c r="F791" s="139"/>
      <c r="G791" s="139"/>
      <c r="H791" s="187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  <c r="AB791" s="139"/>
      <c r="AC791" s="139"/>
      <c r="AD791" s="139"/>
      <c r="AE791" s="139"/>
    </row>
    <row r="792" ht="15.75" customHeight="1">
      <c r="A792" s="137"/>
      <c r="B792" s="139"/>
      <c r="C792" s="139"/>
      <c r="D792" s="139"/>
      <c r="E792" s="139"/>
      <c r="F792" s="139"/>
      <c r="G792" s="139"/>
      <c r="H792" s="187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  <c r="AC792" s="139"/>
      <c r="AD792" s="139"/>
      <c r="AE792" s="139"/>
    </row>
    <row r="793" ht="15.75" customHeight="1">
      <c r="A793" s="137"/>
      <c r="B793" s="139"/>
      <c r="C793" s="139"/>
      <c r="D793" s="139"/>
      <c r="E793" s="139"/>
      <c r="F793" s="139"/>
      <c r="G793" s="139"/>
      <c r="H793" s="187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  <c r="AB793" s="139"/>
      <c r="AC793" s="139"/>
      <c r="AD793" s="139"/>
      <c r="AE793" s="139"/>
    </row>
    <row r="794" ht="15.75" customHeight="1">
      <c r="A794" s="137"/>
      <c r="B794" s="139"/>
      <c r="C794" s="139"/>
      <c r="D794" s="139"/>
      <c r="E794" s="139"/>
      <c r="F794" s="139"/>
      <c r="G794" s="139"/>
      <c r="H794" s="187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  <c r="AC794" s="139"/>
      <c r="AD794" s="139"/>
      <c r="AE794" s="139"/>
    </row>
    <row r="795" ht="15.75" customHeight="1">
      <c r="A795" s="137"/>
      <c r="B795" s="139"/>
      <c r="C795" s="139"/>
      <c r="D795" s="139"/>
      <c r="E795" s="139"/>
      <c r="F795" s="139"/>
      <c r="G795" s="139"/>
      <c r="H795" s="187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  <c r="AB795" s="139"/>
      <c r="AC795" s="139"/>
      <c r="AD795" s="139"/>
      <c r="AE795" s="139"/>
    </row>
    <row r="796" ht="15.75" customHeight="1">
      <c r="A796" s="137"/>
      <c r="B796" s="139"/>
      <c r="C796" s="139"/>
      <c r="D796" s="139"/>
      <c r="E796" s="139"/>
      <c r="F796" s="139"/>
      <c r="G796" s="139"/>
      <c r="H796" s="187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  <c r="AC796" s="139"/>
      <c r="AD796" s="139"/>
      <c r="AE796" s="139"/>
    </row>
    <row r="797" ht="15.75" customHeight="1">
      <c r="A797" s="137"/>
      <c r="B797" s="139"/>
      <c r="C797" s="139"/>
      <c r="D797" s="139"/>
      <c r="E797" s="139"/>
      <c r="F797" s="139"/>
      <c r="G797" s="139"/>
      <c r="H797" s="187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  <c r="AB797" s="139"/>
      <c r="AC797" s="139"/>
      <c r="AD797" s="139"/>
      <c r="AE797" s="139"/>
    </row>
    <row r="798" ht="15.75" customHeight="1">
      <c r="A798" s="137"/>
      <c r="B798" s="139"/>
      <c r="C798" s="139"/>
      <c r="D798" s="139"/>
      <c r="E798" s="139"/>
      <c r="F798" s="139"/>
      <c r="G798" s="139"/>
      <c r="H798" s="187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  <c r="AC798" s="139"/>
      <c r="AD798" s="139"/>
      <c r="AE798" s="139"/>
    </row>
    <row r="799" ht="15.75" customHeight="1">
      <c r="A799" s="137"/>
      <c r="B799" s="139"/>
      <c r="C799" s="139"/>
      <c r="D799" s="139"/>
      <c r="E799" s="139"/>
      <c r="F799" s="139"/>
      <c r="G799" s="139"/>
      <c r="H799" s="187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  <c r="AB799" s="139"/>
      <c r="AC799" s="139"/>
      <c r="AD799" s="139"/>
      <c r="AE799" s="139"/>
    </row>
    <row r="800" ht="15.75" customHeight="1">
      <c r="A800" s="137"/>
      <c r="B800" s="139"/>
      <c r="C800" s="139"/>
      <c r="D800" s="139"/>
      <c r="E800" s="139"/>
      <c r="F800" s="139"/>
      <c r="G800" s="139"/>
      <c r="H800" s="187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  <c r="AC800" s="139"/>
      <c r="AD800" s="139"/>
      <c r="AE800" s="139"/>
    </row>
    <row r="801" ht="15.75" customHeight="1">
      <c r="A801" s="137"/>
      <c r="B801" s="139"/>
      <c r="C801" s="139"/>
      <c r="D801" s="139"/>
      <c r="E801" s="139"/>
      <c r="F801" s="139"/>
      <c r="G801" s="139"/>
      <c r="H801" s="187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  <c r="AB801" s="139"/>
      <c r="AC801" s="139"/>
      <c r="AD801" s="139"/>
      <c r="AE801" s="139"/>
    </row>
    <row r="802" ht="15.75" customHeight="1">
      <c r="A802" s="137"/>
      <c r="B802" s="139"/>
      <c r="C802" s="139"/>
      <c r="D802" s="139"/>
      <c r="E802" s="139"/>
      <c r="F802" s="139"/>
      <c r="G802" s="139"/>
      <c r="H802" s="187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  <c r="AC802" s="139"/>
      <c r="AD802" s="139"/>
      <c r="AE802" s="139"/>
    </row>
    <row r="803" ht="15.75" customHeight="1">
      <c r="A803" s="137"/>
      <c r="B803" s="139"/>
      <c r="C803" s="139"/>
      <c r="D803" s="139"/>
      <c r="E803" s="139"/>
      <c r="F803" s="139"/>
      <c r="G803" s="139"/>
      <c r="H803" s="187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  <c r="AC803" s="139"/>
      <c r="AD803" s="139"/>
      <c r="AE803" s="139"/>
    </row>
    <row r="804" ht="15.75" customHeight="1">
      <c r="A804" s="137"/>
      <c r="B804" s="139"/>
      <c r="C804" s="139"/>
      <c r="D804" s="139"/>
      <c r="E804" s="139"/>
      <c r="F804" s="139"/>
      <c r="G804" s="139"/>
      <c r="H804" s="187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  <c r="AB804" s="139"/>
      <c r="AC804" s="139"/>
      <c r="AD804" s="139"/>
      <c r="AE804" s="139"/>
    </row>
    <row r="805" ht="15.75" customHeight="1">
      <c r="A805" s="137"/>
      <c r="B805" s="139"/>
      <c r="C805" s="139"/>
      <c r="D805" s="139"/>
      <c r="E805" s="139"/>
      <c r="F805" s="139"/>
      <c r="G805" s="139"/>
      <c r="H805" s="187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  <c r="AB805" s="139"/>
      <c r="AC805" s="139"/>
      <c r="AD805" s="139"/>
      <c r="AE805" s="139"/>
    </row>
    <row r="806" ht="15.75" customHeight="1">
      <c r="A806" s="137"/>
      <c r="B806" s="139"/>
      <c r="C806" s="139"/>
      <c r="D806" s="139"/>
      <c r="E806" s="139"/>
      <c r="F806" s="139"/>
      <c r="G806" s="139"/>
      <c r="H806" s="187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  <c r="AB806" s="139"/>
      <c r="AC806" s="139"/>
      <c r="AD806" s="139"/>
      <c r="AE806" s="139"/>
    </row>
    <row r="807" ht="15.75" customHeight="1">
      <c r="A807" s="137"/>
      <c r="B807" s="139"/>
      <c r="C807" s="139"/>
      <c r="D807" s="139"/>
      <c r="E807" s="139"/>
      <c r="F807" s="139"/>
      <c r="G807" s="139"/>
      <c r="H807" s="187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  <c r="AC807" s="139"/>
      <c r="AD807" s="139"/>
      <c r="AE807" s="139"/>
    </row>
    <row r="808" ht="15.75" customHeight="1">
      <c r="A808" s="137"/>
      <c r="B808" s="139"/>
      <c r="C808" s="139"/>
      <c r="D808" s="139"/>
      <c r="E808" s="139"/>
      <c r="F808" s="139"/>
      <c r="G808" s="139"/>
      <c r="H808" s="187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  <c r="AB808" s="139"/>
      <c r="AC808" s="139"/>
      <c r="AD808" s="139"/>
      <c r="AE808" s="139"/>
    </row>
    <row r="809" ht="15.75" customHeight="1">
      <c r="A809" s="137"/>
      <c r="B809" s="139"/>
      <c r="C809" s="139"/>
      <c r="D809" s="139"/>
      <c r="E809" s="139"/>
      <c r="F809" s="139"/>
      <c r="G809" s="139"/>
      <c r="H809" s="187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  <c r="AC809" s="139"/>
      <c r="AD809" s="139"/>
      <c r="AE809" s="139"/>
    </row>
    <row r="810" ht="15.75" customHeight="1">
      <c r="A810" s="137"/>
      <c r="B810" s="139"/>
      <c r="C810" s="139"/>
      <c r="D810" s="139"/>
      <c r="E810" s="139"/>
      <c r="F810" s="139"/>
      <c r="G810" s="139"/>
      <c r="H810" s="187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  <c r="AB810" s="139"/>
      <c r="AC810" s="139"/>
      <c r="AD810" s="139"/>
      <c r="AE810" s="139"/>
    </row>
    <row r="811" ht="15.75" customHeight="1">
      <c r="A811" s="137"/>
      <c r="B811" s="139"/>
      <c r="C811" s="139"/>
      <c r="D811" s="139"/>
      <c r="E811" s="139"/>
      <c r="F811" s="139"/>
      <c r="G811" s="139"/>
      <c r="H811" s="187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  <c r="AB811" s="139"/>
      <c r="AC811" s="139"/>
      <c r="AD811" s="139"/>
      <c r="AE811" s="139"/>
    </row>
    <row r="812" ht="15.75" customHeight="1">
      <c r="A812" s="137"/>
      <c r="B812" s="139"/>
      <c r="C812" s="139"/>
      <c r="D812" s="139"/>
      <c r="E812" s="139"/>
      <c r="F812" s="139"/>
      <c r="G812" s="139"/>
      <c r="H812" s="187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  <c r="AB812" s="139"/>
      <c r="AC812" s="139"/>
      <c r="AD812" s="139"/>
      <c r="AE812" s="139"/>
    </row>
    <row r="813" ht="15.75" customHeight="1">
      <c r="A813" s="137"/>
      <c r="B813" s="139"/>
      <c r="C813" s="139"/>
      <c r="D813" s="139"/>
      <c r="E813" s="139"/>
      <c r="F813" s="139"/>
      <c r="G813" s="139"/>
      <c r="H813" s="187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  <c r="AC813" s="139"/>
      <c r="AD813" s="139"/>
      <c r="AE813" s="139"/>
    </row>
    <row r="814" ht="15.75" customHeight="1">
      <c r="A814" s="137"/>
      <c r="B814" s="139"/>
      <c r="C814" s="139"/>
      <c r="D814" s="139"/>
      <c r="E814" s="139"/>
      <c r="F814" s="139"/>
      <c r="G814" s="139"/>
      <c r="H814" s="187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  <c r="AB814" s="139"/>
      <c r="AC814" s="139"/>
      <c r="AD814" s="139"/>
      <c r="AE814" s="139"/>
    </row>
    <row r="815" ht="15.75" customHeight="1">
      <c r="A815" s="137"/>
      <c r="B815" s="139"/>
      <c r="C815" s="139"/>
      <c r="D815" s="139"/>
      <c r="E815" s="139"/>
      <c r="F815" s="139"/>
      <c r="G815" s="139"/>
      <c r="H815" s="187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  <c r="AC815" s="139"/>
      <c r="AD815" s="139"/>
      <c r="AE815" s="139"/>
    </row>
    <row r="816" ht="15.75" customHeight="1">
      <c r="A816" s="137"/>
      <c r="B816" s="139"/>
      <c r="C816" s="139"/>
      <c r="D816" s="139"/>
      <c r="E816" s="139"/>
      <c r="F816" s="139"/>
      <c r="G816" s="139"/>
      <c r="H816" s="187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  <c r="AB816" s="139"/>
      <c r="AC816" s="139"/>
      <c r="AD816" s="139"/>
      <c r="AE816" s="139"/>
    </row>
    <row r="817" ht="15.75" customHeight="1">
      <c r="A817" s="137"/>
      <c r="B817" s="139"/>
      <c r="C817" s="139"/>
      <c r="D817" s="139"/>
      <c r="E817" s="139"/>
      <c r="F817" s="139"/>
      <c r="G817" s="139"/>
      <c r="H817" s="187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  <c r="AC817" s="139"/>
      <c r="AD817" s="139"/>
      <c r="AE817" s="139"/>
    </row>
    <row r="818" ht="15.75" customHeight="1">
      <c r="A818" s="137"/>
      <c r="B818" s="139"/>
      <c r="C818" s="139"/>
      <c r="D818" s="139"/>
      <c r="E818" s="139"/>
      <c r="F818" s="139"/>
      <c r="G818" s="139"/>
      <c r="H818" s="187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  <c r="AB818" s="139"/>
      <c r="AC818" s="139"/>
      <c r="AD818" s="139"/>
      <c r="AE818" s="139"/>
    </row>
    <row r="819" ht="15.75" customHeight="1">
      <c r="A819" s="137"/>
      <c r="B819" s="139"/>
      <c r="C819" s="139"/>
      <c r="D819" s="139"/>
      <c r="E819" s="139"/>
      <c r="F819" s="139"/>
      <c r="G819" s="139"/>
      <c r="H819" s="187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  <c r="AC819" s="139"/>
      <c r="AD819" s="139"/>
      <c r="AE819" s="139"/>
    </row>
    <row r="820" ht="15.75" customHeight="1">
      <c r="A820" s="137"/>
      <c r="B820" s="139"/>
      <c r="C820" s="139"/>
      <c r="D820" s="139"/>
      <c r="E820" s="139"/>
      <c r="F820" s="139"/>
      <c r="G820" s="139"/>
      <c r="H820" s="187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  <c r="AB820" s="139"/>
      <c r="AC820" s="139"/>
      <c r="AD820" s="139"/>
      <c r="AE820" s="139"/>
    </row>
    <row r="821" ht="15.75" customHeight="1">
      <c r="A821" s="137"/>
      <c r="B821" s="139"/>
      <c r="C821" s="139"/>
      <c r="D821" s="139"/>
      <c r="E821" s="139"/>
      <c r="F821" s="139"/>
      <c r="G821" s="139"/>
      <c r="H821" s="187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  <c r="AC821" s="139"/>
      <c r="AD821" s="139"/>
      <c r="AE821" s="139"/>
    </row>
    <row r="822" ht="15.75" customHeight="1">
      <c r="A822" s="137"/>
      <c r="B822" s="139"/>
      <c r="C822" s="139"/>
      <c r="D822" s="139"/>
      <c r="E822" s="139"/>
      <c r="F822" s="139"/>
      <c r="G822" s="139"/>
      <c r="H822" s="187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  <c r="AB822" s="139"/>
      <c r="AC822" s="139"/>
      <c r="AD822" s="139"/>
      <c r="AE822" s="139"/>
    </row>
    <row r="823" ht="15.75" customHeight="1">
      <c r="A823" s="137"/>
      <c r="B823" s="139"/>
      <c r="C823" s="139"/>
      <c r="D823" s="139"/>
      <c r="E823" s="139"/>
      <c r="F823" s="139"/>
      <c r="G823" s="139"/>
      <c r="H823" s="187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  <c r="AC823" s="139"/>
      <c r="AD823" s="139"/>
      <c r="AE823" s="139"/>
    </row>
    <row r="824" ht="15.75" customHeight="1">
      <c r="A824" s="137"/>
      <c r="B824" s="139"/>
      <c r="C824" s="139"/>
      <c r="D824" s="139"/>
      <c r="E824" s="139"/>
      <c r="F824" s="139"/>
      <c r="G824" s="139"/>
      <c r="H824" s="187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  <c r="AB824" s="139"/>
      <c r="AC824" s="139"/>
      <c r="AD824" s="139"/>
      <c r="AE824" s="139"/>
    </row>
    <row r="825" ht="15.75" customHeight="1">
      <c r="A825" s="137"/>
      <c r="B825" s="139"/>
      <c r="C825" s="139"/>
      <c r="D825" s="139"/>
      <c r="E825" s="139"/>
      <c r="F825" s="139"/>
      <c r="G825" s="139"/>
      <c r="H825" s="187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39"/>
      <c r="AD825" s="139"/>
      <c r="AE825" s="139"/>
    </row>
    <row r="826" ht="15.75" customHeight="1">
      <c r="A826" s="137"/>
      <c r="B826" s="139"/>
      <c r="C826" s="139"/>
      <c r="D826" s="139"/>
      <c r="E826" s="139"/>
      <c r="F826" s="139"/>
      <c r="G826" s="139"/>
      <c r="H826" s="187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  <c r="AB826" s="139"/>
      <c r="AC826" s="139"/>
      <c r="AD826" s="139"/>
      <c r="AE826" s="139"/>
    </row>
    <row r="827" ht="15.75" customHeight="1">
      <c r="A827" s="137"/>
      <c r="B827" s="139"/>
      <c r="C827" s="139"/>
      <c r="D827" s="139"/>
      <c r="E827" s="139"/>
      <c r="F827" s="139"/>
      <c r="G827" s="139"/>
      <c r="H827" s="187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  <c r="AB827" s="139"/>
      <c r="AC827" s="139"/>
      <c r="AD827" s="139"/>
      <c r="AE827" s="139"/>
    </row>
    <row r="828" ht="15.75" customHeight="1">
      <c r="A828" s="137"/>
      <c r="B828" s="139"/>
      <c r="C828" s="139"/>
      <c r="D828" s="139"/>
      <c r="E828" s="139"/>
      <c r="F828" s="139"/>
      <c r="G828" s="139"/>
      <c r="H828" s="187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  <c r="AB828" s="139"/>
      <c r="AC828" s="139"/>
      <c r="AD828" s="139"/>
      <c r="AE828" s="139"/>
    </row>
    <row r="829" ht="15.75" customHeight="1">
      <c r="A829" s="137"/>
      <c r="B829" s="139"/>
      <c r="C829" s="139"/>
      <c r="D829" s="139"/>
      <c r="E829" s="139"/>
      <c r="F829" s="139"/>
      <c r="G829" s="139"/>
      <c r="H829" s="187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  <c r="AC829" s="139"/>
      <c r="AD829" s="139"/>
      <c r="AE829" s="139"/>
    </row>
    <row r="830" ht="15.75" customHeight="1">
      <c r="A830" s="137"/>
      <c r="B830" s="139"/>
      <c r="C830" s="139"/>
      <c r="D830" s="139"/>
      <c r="E830" s="139"/>
      <c r="F830" s="139"/>
      <c r="G830" s="139"/>
      <c r="H830" s="187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  <c r="AB830" s="139"/>
      <c r="AC830" s="139"/>
      <c r="AD830" s="139"/>
      <c r="AE830" s="139"/>
    </row>
    <row r="831" ht="15.75" customHeight="1">
      <c r="A831" s="137"/>
      <c r="B831" s="139"/>
      <c r="C831" s="139"/>
      <c r="D831" s="139"/>
      <c r="E831" s="139"/>
      <c r="F831" s="139"/>
      <c r="G831" s="139"/>
      <c r="H831" s="187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  <c r="AC831" s="139"/>
      <c r="AD831" s="139"/>
      <c r="AE831" s="139"/>
    </row>
    <row r="832" ht="15.75" customHeight="1">
      <c r="A832" s="137"/>
      <c r="B832" s="139"/>
      <c r="C832" s="139"/>
      <c r="D832" s="139"/>
      <c r="E832" s="139"/>
      <c r="F832" s="139"/>
      <c r="G832" s="139"/>
      <c r="H832" s="187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  <c r="AB832" s="139"/>
      <c r="AC832" s="139"/>
      <c r="AD832" s="139"/>
      <c r="AE832" s="139"/>
    </row>
    <row r="833" ht="15.75" customHeight="1">
      <c r="A833" s="137"/>
      <c r="B833" s="139"/>
      <c r="C833" s="139"/>
      <c r="D833" s="139"/>
      <c r="E833" s="139"/>
      <c r="F833" s="139"/>
      <c r="G833" s="139"/>
      <c r="H833" s="187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  <c r="AC833" s="139"/>
      <c r="AD833" s="139"/>
      <c r="AE833" s="139"/>
    </row>
    <row r="834" ht="15.75" customHeight="1">
      <c r="A834" s="137"/>
      <c r="B834" s="139"/>
      <c r="C834" s="139"/>
      <c r="D834" s="139"/>
      <c r="E834" s="139"/>
      <c r="F834" s="139"/>
      <c r="G834" s="139"/>
      <c r="H834" s="187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  <c r="AB834" s="139"/>
      <c r="AC834" s="139"/>
      <c r="AD834" s="139"/>
      <c r="AE834" s="139"/>
    </row>
    <row r="835" ht="15.75" customHeight="1">
      <c r="A835" s="137"/>
      <c r="B835" s="139"/>
      <c r="C835" s="139"/>
      <c r="D835" s="139"/>
      <c r="E835" s="139"/>
      <c r="F835" s="139"/>
      <c r="G835" s="139"/>
      <c r="H835" s="187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  <c r="AC835" s="139"/>
      <c r="AD835" s="139"/>
      <c r="AE835" s="139"/>
    </row>
    <row r="836" ht="15.75" customHeight="1">
      <c r="A836" s="137"/>
      <c r="B836" s="139"/>
      <c r="C836" s="139"/>
      <c r="D836" s="139"/>
      <c r="E836" s="139"/>
      <c r="F836" s="139"/>
      <c r="G836" s="139"/>
      <c r="H836" s="187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  <c r="AB836" s="139"/>
      <c r="AC836" s="139"/>
      <c r="AD836" s="139"/>
      <c r="AE836" s="139"/>
    </row>
    <row r="837" ht="15.75" customHeight="1">
      <c r="A837" s="137"/>
      <c r="B837" s="139"/>
      <c r="C837" s="139"/>
      <c r="D837" s="139"/>
      <c r="E837" s="139"/>
      <c r="F837" s="139"/>
      <c r="G837" s="139"/>
      <c r="H837" s="187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  <c r="AC837" s="139"/>
      <c r="AD837" s="139"/>
      <c r="AE837" s="139"/>
    </row>
    <row r="838" ht="15.75" customHeight="1">
      <c r="A838" s="137"/>
      <c r="B838" s="139"/>
      <c r="C838" s="139"/>
      <c r="D838" s="139"/>
      <c r="E838" s="139"/>
      <c r="F838" s="139"/>
      <c r="G838" s="139"/>
      <c r="H838" s="187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  <c r="AB838" s="139"/>
      <c r="AC838" s="139"/>
      <c r="AD838" s="139"/>
      <c r="AE838" s="139"/>
    </row>
    <row r="839" ht="15.75" customHeight="1">
      <c r="A839" s="137"/>
      <c r="B839" s="139"/>
      <c r="C839" s="139"/>
      <c r="D839" s="139"/>
      <c r="E839" s="139"/>
      <c r="F839" s="139"/>
      <c r="G839" s="139"/>
      <c r="H839" s="187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  <c r="AB839" s="139"/>
      <c r="AC839" s="139"/>
      <c r="AD839" s="139"/>
      <c r="AE839" s="139"/>
    </row>
    <row r="840" ht="15.75" customHeight="1">
      <c r="A840" s="137"/>
      <c r="B840" s="139"/>
      <c r="C840" s="139"/>
      <c r="D840" s="139"/>
      <c r="E840" s="139"/>
      <c r="F840" s="139"/>
      <c r="G840" s="139"/>
      <c r="H840" s="187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  <c r="AB840" s="139"/>
      <c r="AC840" s="139"/>
      <c r="AD840" s="139"/>
      <c r="AE840" s="139"/>
    </row>
    <row r="841" ht="15.75" customHeight="1">
      <c r="A841" s="137"/>
      <c r="B841" s="139"/>
      <c r="C841" s="139"/>
      <c r="D841" s="139"/>
      <c r="E841" s="139"/>
      <c r="F841" s="139"/>
      <c r="G841" s="139"/>
      <c r="H841" s="187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  <c r="AB841" s="139"/>
      <c r="AC841" s="139"/>
      <c r="AD841" s="139"/>
      <c r="AE841" s="139"/>
    </row>
    <row r="842" ht="15.75" customHeight="1">
      <c r="A842" s="137"/>
      <c r="B842" s="139"/>
      <c r="C842" s="139"/>
      <c r="D842" s="139"/>
      <c r="E842" s="139"/>
      <c r="F842" s="139"/>
      <c r="G842" s="139"/>
      <c r="H842" s="187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  <c r="AB842" s="139"/>
      <c r="AC842" s="139"/>
      <c r="AD842" s="139"/>
      <c r="AE842" s="139"/>
    </row>
    <row r="843" ht="15.75" customHeight="1">
      <c r="A843" s="137"/>
      <c r="B843" s="139"/>
      <c r="C843" s="139"/>
      <c r="D843" s="139"/>
      <c r="E843" s="139"/>
      <c r="F843" s="139"/>
      <c r="G843" s="139"/>
      <c r="H843" s="187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  <c r="AB843" s="139"/>
      <c r="AC843" s="139"/>
      <c r="AD843" s="139"/>
      <c r="AE843" s="139"/>
    </row>
    <row r="844" ht="15.75" customHeight="1">
      <c r="A844" s="137"/>
      <c r="B844" s="139"/>
      <c r="C844" s="139"/>
      <c r="D844" s="139"/>
      <c r="E844" s="139"/>
      <c r="F844" s="139"/>
      <c r="G844" s="139"/>
      <c r="H844" s="187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  <c r="AC844" s="139"/>
      <c r="AD844" s="139"/>
      <c r="AE844" s="139"/>
    </row>
    <row r="845" ht="15.75" customHeight="1">
      <c r="A845" s="137"/>
      <c r="B845" s="139"/>
      <c r="C845" s="139"/>
      <c r="D845" s="139"/>
      <c r="E845" s="139"/>
      <c r="F845" s="139"/>
      <c r="G845" s="139"/>
      <c r="H845" s="187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  <c r="AB845" s="139"/>
      <c r="AC845" s="139"/>
      <c r="AD845" s="139"/>
      <c r="AE845" s="139"/>
    </row>
    <row r="846" ht="15.75" customHeight="1">
      <c r="A846" s="137"/>
      <c r="B846" s="139"/>
      <c r="C846" s="139"/>
      <c r="D846" s="139"/>
      <c r="E846" s="139"/>
      <c r="F846" s="139"/>
      <c r="G846" s="139"/>
      <c r="H846" s="187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  <c r="AC846" s="139"/>
      <c r="AD846" s="139"/>
      <c r="AE846" s="139"/>
    </row>
    <row r="847" ht="15.75" customHeight="1">
      <c r="A847" s="137"/>
      <c r="B847" s="139"/>
      <c r="C847" s="139"/>
      <c r="D847" s="139"/>
      <c r="E847" s="139"/>
      <c r="F847" s="139"/>
      <c r="G847" s="139"/>
      <c r="H847" s="187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  <c r="AB847" s="139"/>
      <c r="AC847" s="139"/>
      <c r="AD847" s="139"/>
      <c r="AE847" s="139"/>
    </row>
    <row r="848" ht="15.75" customHeight="1">
      <c r="A848" s="137"/>
      <c r="B848" s="139"/>
      <c r="C848" s="139"/>
      <c r="D848" s="139"/>
      <c r="E848" s="139"/>
      <c r="F848" s="139"/>
      <c r="G848" s="139"/>
      <c r="H848" s="187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  <c r="AB848" s="139"/>
      <c r="AC848" s="139"/>
      <c r="AD848" s="139"/>
      <c r="AE848" s="139"/>
    </row>
    <row r="849" ht="15.75" customHeight="1">
      <c r="A849" s="137"/>
      <c r="B849" s="139"/>
      <c r="C849" s="139"/>
      <c r="D849" s="139"/>
      <c r="E849" s="139"/>
      <c r="F849" s="139"/>
      <c r="G849" s="139"/>
      <c r="H849" s="187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  <c r="AB849" s="139"/>
      <c r="AC849" s="139"/>
      <c r="AD849" s="139"/>
      <c r="AE849" s="139"/>
    </row>
    <row r="850" ht="15.75" customHeight="1">
      <c r="A850" s="137"/>
      <c r="B850" s="139"/>
      <c r="C850" s="139"/>
      <c r="D850" s="139"/>
      <c r="E850" s="139"/>
      <c r="F850" s="139"/>
      <c r="G850" s="139"/>
      <c r="H850" s="187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  <c r="AB850" s="139"/>
      <c r="AC850" s="139"/>
      <c r="AD850" s="139"/>
      <c r="AE850" s="139"/>
    </row>
    <row r="851" ht="15.75" customHeight="1">
      <c r="A851" s="137"/>
      <c r="B851" s="139"/>
      <c r="C851" s="139"/>
      <c r="D851" s="139"/>
      <c r="E851" s="139"/>
      <c r="F851" s="139"/>
      <c r="G851" s="139"/>
      <c r="H851" s="187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  <c r="AB851" s="139"/>
      <c r="AC851" s="139"/>
      <c r="AD851" s="139"/>
      <c r="AE851" s="139"/>
    </row>
    <row r="852" ht="15.75" customHeight="1">
      <c r="A852" s="137"/>
      <c r="B852" s="139"/>
      <c r="C852" s="139"/>
      <c r="D852" s="139"/>
      <c r="E852" s="139"/>
      <c r="F852" s="139"/>
      <c r="G852" s="139"/>
      <c r="H852" s="187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  <c r="AC852" s="139"/>
      <c r="AD852" s="139"/>
      <c r="AE852" s="139"/>
    </row>
    <row r="853" ht="15.75" customHeight="1">
      <c r="A853" s="137"/>
      <c r="B853" s="139"/>
      <c r="C853" s="139"/>
      <c r="D853" s="139"/>
      <c r="E853" s="139"/>
      <c r="F853" s="139"/>
      <c r="G853" s="139"/>
      <c r="H853" s="187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  <c r="AB853" s="139"/>
      <c r="AC853" s="139"/>
      <c r="AD853" s="139"/>
      <c r="AE853" s="139"/>
    </row>
    <row r="854" ht="15.75" customHeight="1">
      <c r="A854" s="137"/>
      <c r="B854" s="139"/>
      <c r="C854" s="139"/>
      <c r="D854" s="139"/>
      <c r="E854" s="139"/>
      <c r="F854" s="139"/>
      <c r="G854" s="139"/>
      <c r="H854" s="187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  <c r="AC854" s="139"/>
      <c r="AD854" s="139"/>
      <c r="AE854" s="139"/>
    </row>
    <row r="855" ht="15.75" customHeight="1">
      <c r="A855" s="137"/>
      <c r="B855" s="139"/>
      <c r="C855" s="139"/>
      <c r="D855" s="139"/>
      <c r="E855" s="139"/>
      <c r="F855" s="139"/>
      <c r="G855" s="139"/>
      <c r="H855" s="187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  <c r="AB855" s="139"/>
      <c r="AC855" s="139"/>
      <c r="AD855" s="139"/>
      <c r="AE855" s="139"/>
    </row>
    <row r="856" ht="15.75" customHeight="1">
      <c r="A856" s="137"/>
      <c r="B856" s="139"/>
      <c r="C856" s="139"/>
      <c r="D856" s="139"/>
      <c r="E856" s="139"/>
      <c r="F856" s="139"/>
      <c r="G856" s="139"/>
      <c r="H856" s="187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  <c r="AC856" s="139"/>
      <c r="AD856" s="139"/>
      <c r="AE856" s="139"/>
    </row>
    <row r="857" ht="15.75" customHeight="1">
      <c r="A857" s="137"/>
      <c r="B857" s="139"/>
      <c r="C857" s="139"/>
      <c r="D857" s="139"/>
      <c r="E857" s="139"/>
      <c r="F857" s="139"/>
      <c r="G857" s="139"/>
      <c r="H857" s="187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  <c r="AB857" s="139"/>
      <c r="AC857" s="139"/>
      <c r="AD857" s="139"/>
      <c r="AE857" s="139"/>
    </row>
    <row r="858" ht="15.75" customHeight="1">
      <c r="A858" s="137"/>
      <c r="B858" s="139"/>
      <c r="C858" s="139"/>
      <c r="D858" s="139"/>
      <c r="E858" s="139"/>
      <c r="F858" s="139"/>
      <c r="G858" s="139"/>
      <c r="H858" s="187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  <c r="AC858" s="139"/>
      <c r="AD858" s="139"/>
      <c r="AE858" s="139"/>
    </row>
    <row r="859" ht="15.75" customHeight="1">
      <c r="A859" s="137"/>
      <c r="B859" s="139"/>
      <c r="C859" s="139"/>
      <c r="D859" s="139"/>
      <c r="E859" s="139"/>
      <c r="F859" s="139"/>
      <c r="G859" s="139"/>
      <c r="H859" s="187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  <c r="AB859" s="139"/>
      <c r="AC859" s="139"/>
      <c r="AD859" s="139"/>
      <c r="AE859" s="139"/>
    </row>
    <row r="860" ht="15.75" customHeight="1">
      <c r="A860" s="137"/>
      <c r="B860" s="139"/>
      <c r="C860" s="139"/>
      <c r="D860" s="139"/>
      <c r="E860" s="139"/>
      <c r="F860" s="139"/>
      <c r="G860" s="139"/>
      <c r="H860" s="187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  <c r="AC860" s="139"/>
      <c r="AD860" s="139"/>
      <c r="AE860" s="139"/>
    </row>
    <row r="861" ht="15.75" customHeight="1">
      <c r="A861" s="137"/>
      <c r="B861" s="139"/>
      <c r="C861" s="139"/>
      <c r="D861" s="139"/>
      <c r="E861" s="139"/>
      <c r="F861" s="139"/>
      <c r="G861" s="139"/>
      <c r="H861" s="187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  <c r="AB861" s="139"/>
      <c r="AC861" s="139"/>
      <c r="AD861" s="139"/>
      <c r="AE861" s="139"/>
    </row>
    <row r="862" ht="15.75" customHeight="1">
      <c r="A862" s="137"/>
      <c r="B862" s="139"/>
      <c r="C862" s="139"/>
      <c r="D862" s="139"/>
      <c r="E862" s="139"/>
      <c r="F862" s="139"/>
      <c r="G862" s="139"/>
      <c r="H862" s="187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  <c r="AC862" s="139"/>
      <c r="AD862" s="139"/>
      <c r="AE862" s="139"/>
    </row>
    <row r="863" ht="15.75" customHeight="1">
      <c r="A863" s="137"/>
      <c r="B863" s="139"/>
      <c r="C863" s="139"/>
      <c r="D863" s="139"/>
      <c r="E863" s="139"/>
      <c r="F863" s="139"/>
      <c r="G863" s="139"/>
      <c r="H863" s="187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  <c r="AB863" s="139"/>
      <c r="AC863" s="139"/>
      <c r="AD863" s="139"/>
      <c r="AE863" s="139"/>
    </row>
    <row r="864" ht="15.75" customHeight="1">
      <c r="A864" s="137"/>
      <c r="B864" s="139"/>
      <c r="C864" s="139"/>
      <c r="D864" s="139"/>
      <c r="E864" s="139"/>
      <c r="F864" s="139"/>
      <c r="G864" s="139"/>
      <c r="H864" s="187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  <c r="AC864" s="139"/>
      <c r="AD864" s="139"/>
      <c r="AE864" s="139"/>
    </row>
    <row r="865" ht="15.75" customHeight="1">
      <c r="A865" s="137"/>
      <c r="B865" s="139"/>
      <c r="C865" s="139"/>
      <c r="D865" s="139"/>
      <c r="E865" s="139"/>
      <c r="F865" s="139"/>
      <c r="G865" s="139"/>
      <c r="H865" s="187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  <c r="AB865" s="139"/>
      <c r="AC865" s="139"/>
      <c r="AD865" s="139"/>
      <c r="AE865" s="139"/>
    </row>
    <row r="866" ht="15.75" customHeight="1">
      <c r="A866" s="137"/>
      <c r="B866" s="139"/>
      <c r="C866" s="139"/>
      <c r="D866" s="139"/>
      <c r="E866" s="139"/>
      <c r="F866" s="139"/>
      <c r="G866" s="139"/>
      <c r="H866" s="187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  <c r="AC866" s="139"/>
      <c r="AD866" s="139"/>
      <c r="AE866" s="139"/>
    </row>
    <row r="867" ht="15.75" customHeight="1">
      <c r="A867" s="137"/>
      <c r="B867" s="139"/>
      <c r="C867" s="139"/>
      <c r="D867" s="139"/>
      <c r="E867" s="139"/>
      <c r="F867" s="139"/>
      <c r="G867" s="139"/>
      <c r="H867" s="187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  <c r="AB867" s="139"/>
      <c r="AC867" s="139"/>
      <c r="AD867" s="139"/>
      <c r="AE867" s="139"/>
    </row>
    <row r="868" ht="15.75" customHeight="1">
      <c r="A868" s="137"/>
      <c r="B868" s="139"/>
      <c r="C868" s="139"/>
      <c r="D868" s="139"/>
      <c r="E868" s="139"/>
      <c r="F868" s="139"/>
      <c r="G868" s="139"/>
      <c r="H868" s="187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  <c r="AC868" s="139"/>
      <c r="AD868" s="139"/>
      <c r="AE868" s="139"/>
    </row>
    <row r="869" ht="15.75" customHeight="1">
      <c r="A869" s="137"/>
      <c r="B869" s="139"/>
      <c r="C869" s="139"/>
      <c r="D869" s="139"/>
      <c r="E869" s="139"/>
      <c r="F869" s="139"/>
      <c r="G869" s="139"/>
      <c r="H869" s="187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  <c r="AB869" s="139"/>
      <c r="AC869" s="139"/>
      <c r="AD869" s="139"/>
      <c r="AE869" s="139"/>
    </row>
    <row r="870" ht="15.75" customHeight="1">
      <c r="A870" s="137"/>
      <c r="B870" s="139"/>
      <c r="C870" s="139"/>
      <c r="D870" s="139"/>
      <c r="E870" s="139"/>
      <c r="F870" s="139"/>
      <c r="G870" s="139"/>
      <c r="H870" s="187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  <c r="AC870" s="139"/>
      <c r="AD870" s="139"/>
      <c r="AE870" s="139"/>
    </row>
    <row r="871" ht="15.75" customHeight="1">
      <c r="A871" s="137"/>
      <c r="B871" s="139"/>
      <c r="C871" s="139"/>
      <c r="D871" s="139"/>
      <c r="E871" s="139"/>
      <c r="F871" s="139"/>
      <c r="G871" s="139"/>
      <c r="H871" s="187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  <c r="AB871" s="139"/>
      <c r="AC871" s="139"/>
      <c r="AD871" s="139"/>
      <c r="AE871" s="139"/>
    </row>
    <row r="872" ht="15.75" customHeight="1">
      <c r="A872" s="137"/>
      <c r="B872" s="139"/>
      <c r="C872" s="139"/>
      <c r="D872" s="139"/>
      <c r="E872" s="139"/>
      <c r="F872" s="139"/>
      <c r="G872" s="139"/>
      <c r="H872" s="187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  <c r="AC872" s="139"/>
      <c r="AD872" s="139"/>
      <c r="AE872" s="139"/>
    </row>
    <row r="873" ht="15.75" customHeight="1">
      <c r="A873" s="137"/>
      <c r="B873" s="139"/>
      <c r="C873" s="139"/>
      <c r="D873" s="139"/>
      <c r="E873" s="139"/>
      <c r="F873" s="139"/>
      <c r="G873" s="139"/>
      <c r="H873" s="187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  <c r="AB873" s="139"/>
      <c r="AC873" s="139"/>
      <c r="AD873" s="139"/>
      <c r="AE873" s="139"/>
    </row>
    <row r="874" ht="15.75" customHeight="1">
      <c r="A874" s="137"/>
      <c r="B874" s="139"/>
      <c r="C874" s="139"/>
      <c r="D874" s="139"/>
      <c r="E874" s="139"/>
      <c r="F874" s="139"/>
      <c r="G874" s="139"/>
      <c r="H874" s="187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  <c r="AC874" s="139"/>
      <c r="AD874" s="139"/>
      <c r="AE874" s="139"/>
    </row>
    <row r="875" ht="15.75" customHeight="1">
      <c r="A875" s="137"/>
      <c r="B875" s="139"/>
      <c r="C875" s="139"/>
      <c r="D875" s="139"/>
      <c r="E875" s="139"/>
      <c r="F875" s="139"/>
      <c r="G875" s="139"/>
      <c r="H875" s="187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  <c r="AB875" s="139"/>
      <c r="AC875" s="139"/>
      <c r="AD875" s="139"/>
      <c r="AE875" s="139"/>
    </row>
    <row r="876" ht="15.75" customHeight="1">
      <c r="A876" s="137"/>
      <c r="B876" s="139"/>
      <c r="C876" s="139"/>
      <c r="D876" s="139"/>
      <c r="E876" s="139"/>
      <c r="F876" s="139"/>
      <c r="G876" s="139"/>
      <c r="H876" s="187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  <c r="AB876" s="139"/>
      <c r="AC876" s="139"/>
      <c r="AD876" s="139"/>
      <c r="AE876" s="139"/>
    </row>
    <row r="877" ht="15.75" customHeight="1">
      <c r="A877" s="137"/>
      <c r="B877" s="139"/>
      <c r="C877" s="139"/>
      <c r="D877" s="139"/>
      <c r="E877" s="139"/>
      <c r="F877" s="139"/>
      <c r="G877" s="139"/>
      <c r="H877" s="187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  <c r="AB877" s="139"/>
      <c r="AC877" s="139"/>
      <c r="AD877" s="139"/>
      <c r="AE877" s="139"/>
    </row>
    <row r="878" ht="15.75" customHeight="1">
      <c r="A878" s="137"/>
      <c r="B878" s="139"/>
      <c r="C878" s="139"/>
      <c r="D878" s="139"/>
      <c r="E878" s="139"/>
      <c r="F878" s="139"/>
      <c r="G878" s="139"/>
      <c r="H878" s="187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  <c r="AB878" s="139"/>
      <c r="AC878" s="139"/>
      <c r="AD878" s="139"/>
      <c r="AE878" s="139"/>
    </row>
    <row r="879" ht="15.75" customHeight="1">
      <c r="A879" s="137"/>
      <c r="B879" s="139"/>
      <c r="C879" s="139"/>
      <c r="D879" s="139"/>
      <c r="E879" s="139"/>
      <c r="F879" s="139"/>
      <c r="G879" s="139"/>
      <c r="H879" s="187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  <c r="AC879" s="139"/>
      <c r="AD879" s="139"/>
      <c r="AE879" s="139"/>
    </row>
    <row r="880" ht="15.75" customHeight="1">
      <c r="A880" s="137"/>
      <c r="B880" s="139"/>
      <c r="C880" s="139"/>
      <c r="D880" s="139"/>
      <c r="E880" s="139"/>
      <c r="F880" s="139"/>
      <c r="G880" s="139"/>
      <c r="H880" s="187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  <c r="AB880" s="139"/>
      <c r="AC880" s="139"/>
      <c r="AD880" s="139"/>
      <c r="AE880" s="139"/>
    </row>
    <row r="881" ht="15.75" customHeight="1">
      <c r="A881" s="137"/>
      <c r="B881" s="139"/>
      <c r="C881" s="139"/>
      <c r="D881" s="139"/>
      <c r="E881" s="139"/>
      <c r="F881" s="139"/>
      <c r="G881" s="139"/>
      <c r="H881" s="187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  <c r="AC881" s="139"/>
      <c r="AD881" s="139"/>
      <c r="AE881" s="139"/>
    </row>
    <row r="882" ht="15.75" customHeight="1">
      <c r="A882" s="137"/>
      <c r="B882" s="139"/>
      <c r="C882" s="139"/>
      <c r="D882" s="139"/>
      <c r="E882" s="139"/>
      <c r="F882" s="139"/>
      <c r="G882" s="139"/>
      <c r="H882" s="187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  <c r="AB882" s="139"/>
      <c r="AC882" s="139"/>
      <c r="AD882" s="139"/>
      <c r="AE882" s="139"/>
    </row>
    <row r="883" ht="15.75" customHeight="1">
      <c r="A883" s="137"/>
      <c r="B883" s="139"/>
      <c r="C883" s="139"/>
      <c r="D883" s="139"/>
      <c r="E883" s="139"/>
      <c r="F883" s="139"/>
      <c r="G883" s="139"/>
      <c r="H883" s="187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  <c r="AC883" s="139"/>
      <c r="AD883" s="139"/>
      <c r="AE883" s="139"/>
    </row>
    <row r="884" ht="15.75" customHeight="1">
      <c r="A884" s="137"/>
      <c r="B884" s="139"/>
      <c r="C884" s="139"/>
      <c r="D884" s="139"/>
      <c r="E884" s="139"/>
      <c r="F884" s="139"/>
      <c r="G884" s="139"/>
      <c r="H884" s="187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  <c r="AB884" s="139"/>
      <c r="AC884" s="139"/>
      <c r="AD884" s="139"/>
      <c r="AE884" s="139"/>
    </row>
    <row r="885" ht="15.75" customHeight="1">
      <c r="A885" s="137"/>
      <c r="B885" s="139"/>
      <c r="C885" s="139"/>
      <c r="D885" s="139"/>
      <c r="E885" s="139"/>
      <c r="F885" s="139"/>
      <c r="G885" s="139"/>
      <c r="H885" s="187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  <c r="AC885" s="139"/>
      <c r="AD885" s="139"/>
      <c r="AE885" s="139"/>
    </row>
    <row r="886" ht="15.75" customHeight="1">
      <c r="A886" s="137"/>
      <c r="B886" s="139"/>
      <c r="C886" s="139"/>
      <c r="D886" s="139"/>
      <c r="E886" s="139"/>
      <c r="F886" s="139"/>
      <c r="G886" s="139"/>
      <c r="H886" s="187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  <c r="AB886" s="139"/>
      <c r="AC886" s="139"/>
      <c r="AD886" s="139"/>
      <c r="AE886" s="139"/>
    </row>
    <row r="887" ht="15.75" customHeight="1">
      <c r="A887" s="137"/>
      <c r="B887" s="139"/>
      <c r="C887" s="139"/>
      <c r="D887" s="139"/>
      <c r="E887" s="139"/>
      <c r="F887" s="139"/>
      <c r="G887" s="139"/>
      <c r="H887" s="187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  <c r="AC887" s="139"/>
      <c r="AD887" s="139"/>
      <c r="AE887" s="139"/>
    </row>
    <row r="888" ht="15.75" customHeight="1">
      <c r="A888" s="137"/>
      <c r="B888" s="139"/>
      <c r="C888" s="139"/>
      <c r="D888" s="139"/>
      <c r="E888" s="139"/>
      <c r="F888" s="139"/>
      <c r="G888" s="139"/>
      <c r="H888" s="187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  <c r="AB888" s="139"/>
      <c r="AC888" s="139"/>
      <c r="AD888" s="139"/>
      <c r="AE888" s="139"/>
    </row>
    <row r="889" ht="15.75" customHeight="1">
      <c r="A889" s="137"/>
      <c r="B889" s="139"/>
      <c r="C889" s="139"/>
      <c r="D889" s="139"/>
      <c r="E889" s="139"/>
      <c r="F889" s="139"/>
      <c r="G889" s="139"/>
      <c r="H889" s="187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  <c r="AC889" s="139"/>
      <c r="AD889" s="139"/>
      <c r="AE889" s="139"/>
    </row>
    <row r="890" ht="15.75" customHeight="1">
      <c r="A890" s="137"/>
      <c r="B890" s="139"/>
      <c r="C890" s="139"/>
      <c r="D890" s="139"/>
      <c r="E890" s="139"/>
      <c r="F890" s="139"/>
      <c r="G890" s="139"/>
      <c r="H890" s="187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  <c r="AB890" s="139"/>
      <c r="AC890" s="139"/>
      <c r="AD890" s="139"/>
      <c r="AE890" s="139"/>
    </row>
    <row r="891" ht="15.75" customHeight="1">
      <c r="A891" s="137"/>
      <c r="B891" s="139"/>
      <c r="C891" s="139"/>
      <c r="D891" s="139"/>
      <c r="E891" s="139"/>
      <c r="F891" s="139"/>
      <c r="G891" s="139"/>
      <c r="H891" s="187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  <c r="AC891" s="139"/>
      <c r="AD891" s="139"/>
      <c r="AE891" s="139"/>
    </row>
    <row r="892" ht="15.75" customHeight="1">
      <c r="A892" s="137"/>
      <c r="B892" s="139"/>
      <c r="C892" s="139"/>
      <c r="D892" s="139"/>
      <c r="E892" s="139"/>
      <c r="F892" s="139"/>
      <c r="G892" s="139"/>
      <c r="H892" s="187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  <c r="AB892" s="139"/>
      <c r="AC892" s="139"/>
      <c r="AD892" s="139"/>
      <c r="AE892" s="139"/>
    </row>
    <row r="893" ht="15.75" customHeight="1">
      <c r="A893" s="137"/>
      <c r="B893" s="139"/>
      <c r="C893" s="139"/>
      <c r="D893" s="139"/>
      <c r="E893" s="139"/>
      <c r="F893" s="139"/>
      <c r="G893" s="139"/>
      <c r="H893" s="187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  <c r="AC893" s="139"/>
      <c r="AD893" s="139"/>
      <c r="AE893" s="139"/>
    </row>
    <row r="894" ht="15.75" customHeight="1">
      <c r="A894" s="137"/>
      <c r="B894" s="139"/>
      <c r="C894" s="139"/>
      <c r="D894" s="139"/>
      <c r="E894" s="139"/>
      <c r="F894" s="139"/>
      <c r="G894" s="139"/>
      <c r="H894" s="187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  <c r="AB894" s="139"/>
      <c r="AC894" s="139"/>
      <c r="AD894" s="139"/>
      <c r="AE894" s="139"/>
    </row>
    <row r="895" ht="15.75" customHeight="1">
      <c r="A895" s="137"/>
      <c r="B895" s="139"/>
      <c r="C895" s="139"/>
      <c r="D895" s="139"/>
      <c r="E895" s="139"/>
      <c r="F895" s="139"/>
      <c r="G895" s="139"/>
      <c r="H895" s="187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  <c r="AC895" s="139"/>
      <c r="AD895" s="139"/>
      <c r="AE895" s="139"/>
    </row>
    <row r="896" ht="15.75" customHeight="1">
      <c r="A896" s="137"/>
      <c r="B896" s="139"/>
      <c r="C896" s="139"/>
      <c r="D896" s="139"/>
      <c r="E896" s="139"/>
      <c r="F896" s="139"/>
      <c r="G896" s="139"/>
      <c r="H896" s="187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  <c r="AB896" s="139"/>
      <c r="AC896" s="139"/>
      <c r="AD896" s="139"/>
      <c r="AE896" s="139"/>
    </row>
    <row r="897" ht="15.75" customHeight="1">
      <c r="A897" s="137"/>
      <c r="B897" s="139"/>
      <c r="C897" s="139"/>
      <c r="D897" s="139"/>
      <c r="E897" s="139"/>
      <c r="F897" s="139"/>
      <c r="G897" s="139"/>
      <c r="H897" s="187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  <c r="AC897" s="139"/>
      <c r="AD897" s="139"/>
      <c r="AE897" s="139"/>
    </row>
    <row r="898" ht="15.75" customHeight="1">
      <c r="A898" s="137"/>
      <c r="B898" s="139"/>
      <c r="C898" s="139"/>
      <c r="D898" s="139"/>
      <c r="E898" s="139"/>
      <c r="F898" s="139"/>
      <c r="G898" s="139"/>
      <c r="H898" s="187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  <c r="AB898" s="139"/>
      <c r="AC898" s="139"/>
      <c r="AD898" s="139"/>
      <c r="AE898" s="139"/>
    </row>
    <row r="899" ht="15.75" customHeight="1">
      <c r="A899" s="137"/>
      <c r="B899" s="139"/>
      <c r="C899" s="139"/>
      <c r="D899" s="139"/>
      <c r="E899" s="139"/>
      <c r="F899" s="139"/>
      <c r="G899" s="139"/>
      <c r="H899" s="187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  <c r="AC899" s="139"/>
      <c r="AD899" s="139"/>
      <c r="AE899" s="139"/>
    </row>
    <row r="900" ht="15.75" customHeight="1">
      <c r="A900" s="137"/>
      <c r="B900" s="139"/>
      <c r="C900" s="139"/>
      <c r="D900" s="139"/>
      <c r="E900" s="139"/>
      <c r="F900" s="139"/>
      <c r="G900" s="139"/>
      <c r="H900" s="187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  <c r="AB900" s="139"/>
      <c r="AC900" s="139"/>
      <c r="AD900" s="139"/>
      <c r="AE900" s="139"/>
    </row>
    <row r="901" ht="15.75" customHeight="1">
      <c r="A901" s="137"/>
      <c r="B901" s="139"/>
      <c r="C901" s="139"/>
      <c r="D901" s="139"/>
      <c r="E901" s="139"/>
      <c r="F901" s="139"/>
      <c r="G901" s="139"/>
      <c r="H901" s="187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  <c r="AC901" s="139"/>
      <c r="AD901" s="139"/>
      <c r="AE901" s="139"/>
    </row>
    <row r="902" ht="15.75" customHeight="1">
      <c r="A902" s="137"/>
      <c r="B902" s="139"/>
      <c r="C902" s="139"/>
      <c r="D902" s="139"/>
      <c r="E902" s="139"/>
      <c r="F902" s="139"/>
      <c r="G902" s="139"/>
      <c r="H902" s="187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  <c r="AB902" s="139"/>
      <c r="AC902" s="139"/>
      <c r="AD902" s="139"/>
      <c r="AE902" s="139"/>
    </row>
    <row r="903" ht="15.75" customHeight="1">
      <c r="A903" s="137"/>
      <c r="B903" s="139"/>
      <c r="C903" s="139"/>
      <c r="D903" s="139"/>
      <c r="E903" s="139"/>
      <c r="F903" s="139"/>
      <c r="G903" s="139"/>
      <c r="H903" s="187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  <c r="AC903" s="139"/>
      <c r="AD903" s="139"/>
      <c r="AE903" s="139"/>
    </row>
    <row r="904" ht="15.75" customHeight="1">
      <c r="A904" s="137"/>
      <c r="B904" s="139"/>
      <c r="C904" s="139"/>
      <c r="D904" s="139"/>
      <c r="E904" s="139"/>
      <c r="F904" s="139"/>
      <c r="G904" s="139"/>
      <c r="H904" s="187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  <c r="AB904" s="139"/>
      <c r="AC904" s="139"/>
      <c r="AD904" s="139"/>
      <c r="AE904" s="139"/>
    </row>
    <row r="905" ht="15.75" customHeight="1">
      <c r="A905" s="137"/>
      <c r="B905" s="139"/>
      <c r="C905" s="139"/>
      <c r="D905" s="139"/>
      <c r="E905" s="139"/>
      <c r="F905" s="139"/>
      <c r="G905" s="139"/>
      <c r="H905" s="187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  <c r="AC905" s="139"/>
      <c r="AD905" s="139"/>
      <c r="AE905" s="139"/>
    </row>
    <row r="906" ht="15.75" customHeight="1">
      <c r="A906" s="137"/>
      <c r="B906" s="139"/>
      <c r="C906" s="139"/>
      <c r="D906" s="139"/>
      <c r="E906" s="139"/>
      <c r="F906" s="139"/>
      <c r="G906" s="139"/>
      <c r="H906" s="187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  <c r="AB906" s="139"/>
      <c r="AC906" s="139"/>
      <c r="AD906" s="139"/>
      <c r="AE906" s="139"/>
    </row>
    <row r="907" ht="15.75" customHeight="1">
      <c r="A907" s="137"/>
      <c r="B907" s="139"/>
      <c r="C907" s="139"/>
      <c r="D907" s="139"/>
      <c r="E907" s="139"/>
      <c r="F907" s="139"/>
      <c r="G907" s="139"/>
      <c r="H907" s="187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  <c r="AB907" s="139"/>
      <c r="AC907" s="139"/>
      <c r="AD907" s="139"/>
      <c r="AE907" s="139"/>
    </row>
    <row r="908" ht="15.75" customHeight="1">
      <c r="A908" s="137"/>
      <c r="B908" s="139"/>
      <c r="C908" s="139"/>
      <c r="D908" s="139"/>
      <c r="E908" s="139"/>
      <c r="F908" s="139"/>
      <c r="G908" s="139"/>
      <c r="H908" s="187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  <c r="AB908" s="139"/>
      <c r="AC908" s="139"/>
      <c r="AD908" s="139"/>
      <c r="AE908" s="139"/>
    </row>
    <row r="909" ht="15.75" customHeight="1">
      <c r="A909" s="137"/>
      <c r="B909" s="139"/>
      <c r="C909" s="139"/>
      <c r="D909" s="139"/>
      <c r="E909" s="139"/>
      <c r="F909" s="139"/>
      <c r="G909" s="139"/>
      <c r="H909" s="187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  <c r="AB909" s="139"/>
      <c r="AC909" s="139"/>
      <c r="AD909" s="139"/>
      <c r="AE909" s="139"/>
    </row>
    <row r="910" ht="15.75" customHeight="1">
      <c r="A910" s="137"/>
      <c r="B910" s="139"/>
      <c r="C910" s="139"/>
      <c r="D910" s="139"/>
      <c r="E910" s="139"/>
      <c r="F910" s="139"/>
      <c r="G910" s="139"/>
      <c r="H910" s="187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  <c r="AB910" s="139"/>
      <c r="AC910" s="139"/>
      <c r="AD910" s="139"/>
      <c r="AE910" s="139"/>
    </row>
    <row r="911" ht="15.75" customHeight="1">
      <c r="A911" s="137"/>
      <c r="B911" s="139"/>
      <c r="C911" s="139"/>
      <c r="D911" s="139"/>
      <c r="E911" s="139"/>
      <c r="F911" s="139"/>
      <c r="G911" s="139"/>
      <c r="H911" s="187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  <c r="AB911" s="139"/>
      <c r="AC911" s="139"/>
      <c r="AD911" s="139"/>
      <c r="AE911" s="139"/>
    </row>
    <row r="912" ht="15.75" customHeight="1">
      <c r="A912" s="137"/>
      <c r="B912" s="139"/>
      <c r="C912" s="139"/>
      <c r="D912" s="139"/>
      <c r="E912" s="139"/>
      <c r="F912" s="139"/>
      <c r="G912" s="139"/>
      <c r="H912" s="187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  <c r="AB912" s="139"/>
      <c r="AC912" s="139"/>
      <c r="AD912" s="139"/>
      <c r="AE912" s="139"/>
    </row>
    <row r="913" ht="15.75" customHeight="1">
      <c r="A913" s="137"/>
      <c r="B913" s="139"/>
      <c r="C913" s="139"/>
      <c r="D913" s="139"/>
      <c r="E913" s="139"/>
      <c r="F913" s="139"/>
      <c r="G913" s="139"/>
      <c r="H913" s="187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  <c r="AB913" s="139"/>
      <c r="AC913" s="139"/>
      <c r="AD913" s="139"/>
      <c r="AE913" s="139"/>
    </row>
    <row r="914" ht="15.75" customHeight="1">
      <c r="A914" s="137"/>
      <c r="B914" s="139"/>
      <c r="C914" s="139"/>
      <c r="D914" s="139"/>
      <c r="E914" s="139"/>
      <c r="F914" s="139"/>
      <c r="G914" s="139"/>
      <c r="H914" s="187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  <c r="AB914" s="139"/>
      <c r="AC914" s="139"/>
      <c r="AD914" s="139"/>
      <c r="AE914" s="139"/>
    </row>
    <row r="915" ht="15.75" customHeight="1">
      <c r="A915" s="137"/>
      <c r="B915" s="139"/>
      <c r="C915" s="139"/>
      <c r="D915" s="139"/>
      <c r="E915" s="139"/>
      <c r="F915" s="139"/>
      <c r="G915" s="139"/>
      <c r="H915" s="187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  <c r="AB915" s="139"/>
      <c r="AC915" s="139"/>
      <c r="AD915" s="139"/>
      <c r="AE915" s="139"/>
    </row>
    <row r="916" ht="15.75" customHeight="1">
      <c r="A916" s="137"/>
      <c r="B916" s="139"/>
      <c r="C916" s="139"/>
      <c r="D916" s="139"/>
      <c r="E916" s="139"/>
      <c r="F916" s="139"/>
      <c r="G916" s="139"/>
      <c r="H916" s="187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  <c r="AB916" s="139"/>
      <c r="AC916" s="139"/>
      <c r="AD916" s="139"/>
      <c r="AE916" s="139"/>
    </row>
    <row r="917" ht="15.75" customHeight="1">
      <c r="A917" s="137"/>
      <c r="B917" s="139"/>
      <c r="C917" s="139"/>
      <c r="D917" s="139"/>
      <c r="E917" s="139"/>
      <c r="F917" s="139"/>
      <c r="G917" s="139"/>
      <c r="H917" s="187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  <c r="AB917" s="139"/>
      <c r="AC917" s="139"/>
      <c r="AD917" s="139"/>
      <c r="AE917" s="139"/>
    </row>
    <row r="918" ht="15.75" customHeight="1">
      <c r="A918" s="137"/>
      <c r="B918" s="139"/>
      <c r="C918" s="139"/>
      <c r="D918" s="139"/>
      <c r="E918" s="139"/>
      <c r="F918" s="139"/>
      <c r="G918" s="139"/>
      <c r="H918" s="187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  <c r="AB918" s="139"/>
      <c r="AC918" s="139"/>
      <c r="AD918" s="139"/>
      <c r="AE918" s="139"/>
    </row>
    <row r="919" ht="15.75" customHeight="1">
      <c r="A919" s="137"/>
      <c r="B919" s="139"/>
      <c r="C919" s="139"/>
      <c r="D919" s="139"/>
      <c r="E919" s="139"/>
      <c r="F919" s="139"/>
      <c r="G919" s="139"/>
      <c r="H919" s="187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  <c r="AB919" s="139"/>
      <c r="AC919" s="139"/>
      <c r="AD919" s="139"/>
      <c r="AE919" s="139"/>
    </row>
    <row r="920" ht="15.75" customHeight="1">
      <c r="A920" s="137"/>
      <c r="B920" s="139"/>
      <c r="C920" s="139"/>
      <c r="D920" s="139"/>
      <c r="E920" s="139"/>
      <c r="F920" s="139"/>
      <c r="G920" s="139"/>
      <c r="H920" s="187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  <c r="AB920" s="139"/>
      <c r="AC920" s="139"/>
      <c r="AD920" s="139"/>
      <c r="AE920" s="139"/>
    </row>
    <row r="921" ht="15.75" customHeight="1">
      <c r="A921" s="137"/>
      <c r="B921" s="139"/>
      <c r="C921" s="139"/>
      <c r="D921" s="139"/>
      <c r="E921" s="139"/>
      <c r="F921" s="139"/>
      <c r="G921" s="139"/>
      <c r="H921" s="187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  <c r="AB921" s="139"/>
      <c r="AC921" s="139"/>
      <c r="AD921" s="139"/>
      <c r="AE921" s="139"/>
    </row>
    <row r="922" ht="15.75" customHeight="1">
      <c r="A922" s="137"/>
      <c r="B922" s="139"/>
      <c r="C922" s="139"/>
      <c r="D922" s="139"/>
      <c r="E922" s="139"/>
      <c r="F922" s="139"/>
      <c r="G922" s="139"/>
      <c r="H922" s="187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  <c r="AB922" s="139"/>
      <c r="AC922" s="139"/>
      <c r="AD922" s="139"/>
      <c r="AE922" s="139"/>
    </row>
    <row r="923" ht="15.75" customHeight="1">
      <c r="A923" s="137"/>
      <c r="B923" s="139"/>
      <c r="C923" s="139"/>
      <c r="D923" s="139"/>
      <c r="E923" s="139"/>
      <c r="F923" s="139"/>
      <c r="G923" s="139"/>
      <c r="H923" s="187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  <c r="AB923" s="139"/>
      <c r="AC923" s="139"/>
      <c r="AD923" s="139"/>
      <c r="AE923" s="139"/>
    </row>
    <row r="924" ht="15.75" customHeight="1">
      <c r="A924" s="137"/>
      <c r="B924" s="139"/>
      <c r="C924" s="139"/>
      <c r="D924" s="139"/>
      <c r="E924" s="139"/>
      <c r="F924" s="139"/>
      <c r="G924" s="139"/>
      <c r="H924" s="187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  <c r="AB924" s="139"/>
      <c r="AC924" s="139"/>
      <c r="AD924" s="139"/>
      <c r="AE924" s="139"/>
    </row>
    <row r="925" ht="15.75" customHeight="1">
      <c r="A925" s="137"/>
      <c r="B925" s="139"/>
      <c r="C925" s="139"/>
      <c r="D925" s="139"/>
      <c r="E925" s="139"/>
      <c r="F925" s="139"/>
      <c r="G925" s="139"/>
      <c r="H925" s="187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  <c r="AB925" s="139"/>
      <c r="AC925" s="139"/>
      <c r="AD925" s="139"/>
      <c r="AE925" s="139"/>
    </row>
    <row r="926" ht="15.75" customHeight="1">
      <c r="A926" s="137"/>
      <c r="B926" s="139"/>
      <c r="C926" s="139"/>
      <c r="D926" s="139"/>
      <c r="E926" s="139"/>
      <c r="F926" s="139"/>
      <c r="G926" s="139"/>
      <c r="H926" s="187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  <c r="AB926" s="139"/>
      <c r="AC926" s="139"/>
      <c r="AD926" s="139"/>
      <c r="AE926" s="139"/>
    </row>
    <row r="927" ht="15.75" customHeight="1">
      <c r="A927" s="137"/>
      <c r="B927" s="139"/>
      <c r="C927" s="139"/>
      <c r="D927" s="139"/>
      <c r="E927" s="139"/>
      <c r="F927" s="139"/>
      <c r="G927" s="139"/>
      <c r="H927" s="187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  <c r="AB927" s="139"/>
      <c r="AC927" s="139"/>
      <c r="AD927" s="139"/>
      <c r="AE927" s="139"/>
    </row>
    <row r="928" ht="15.75" customHeight="1">
      <c r="A928" s="137"/>
      <c r="B928" s="139"/>
      <c r="C928" s="139"/>
      <c r="D928" s="139"/>
      <c r="E928" s="139"/>
      <c r="F928" s="139"/>
      <c r="G928" s="139"/>
      <c r="H928" s="187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  <c r="AB928" s="139"/>
      <c r="AC928" s="139"/>
      <c r="AD928" s="139"/>
      <c r="AE928" s="139"/>
    </row>
    <row r="929" ht="15.75" customHeight="1">
      <c r="A929" s="137"/>
      <c r="B929" s="139"/>
      <c r="C929" s="139"/>
      <c r="D929" s="139"/>
      <c r="E929" s="139"/>
      <c r="F929" s="139"/>
      <c r="G929" s="139"/>
      <c r="H929" s="187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  <c r="AB929" s="139"/>
      <c r="AC929" s="139"/>
      <c r="AD929" s="139"/>
      <c r="AE929" s="139"/>
    </row>
    <row r="930" ht="15.75" customHeight="1">
      <c r="A930" s="137"/>
      <c r="B930" s="139"/>
      <c r="C930" s="139"/>
      <c r="D930" s="139"/>
      <c r="E930" s="139"/>
      <c r="F930" s="139"/>
      <c r="G930" s="139"/>
      <c r="H930" s="187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  <c r="AB930" s="139"/>
      <c r="AC930" s="139"/>
      <c r="AD930" s="139"/>
      <c r="AE930" s="139"/>
    </row>
    <row r="931" ht="15.75" customHeight="1">
      <c r="A931" s="137"/>
      <c r="B931" s="139"/>
      <c r="C931" s="139"/>
      <c r="D931" s="139"/>
      <c r="E931" s="139"/>
      <c r="F931" s="139"/>
      <c r="G931" s="139"/>
      <c r="H931" s="187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  <c r="AB931" s="139"/>
      <c r="AC931" s="139"/>
      <c r="AD931" s="139"/>
      <c r="AE931" s="139"/>
    </row>
    <row r="932" ht="15.75" customHeight="1">
      <c r="A932" s="137"/>
      <c r="B932" s="139"/>
      <c r="C932" s="139"/>
      <c r="D932" s="139"/>
      <c r="E932" s="139"/>
      <c r="F932" s="139"/>
      <c r="G932" s="139"/>
      <c r="H932" s="187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  <c r="AB932" s="139"/>
      <c r="AC932" s="139"/>
      <c r="AD932" s="139"/>
      <c r="AE932" s="139"/>
    </row>
    <row r="933" ht="15.75" customHeight="1">
      <c r="A933" s="137"/>
      <c r="B933" s="139"/>
      <c r="C933" s="139"/>
      <c r="D933" s="139"/>
      <c r="E933" s="139"/>
      <c r="F933" s="139"/>
      <c r="G933" s="139"/>
      <c r="H933" s="187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  <c r="AB933" s="139"/>
      <c r="AC933" s="139"/>
      <c r="AD933" s="139"/>
      <c r="AE933" s="139"/>
    </row>
    <row r="934" ht="15.75" customHeight="1">
      <c r="A934" s="137"/>
      <c r="B934" s="139"/>
      <c r="C934" s="139"/>
      <c r="D934" s="139"/>
      <c r="E934" s="139"/>
      <c r="F934" s="139"/>
      <c r="G934" s="139"/>
      <c r="H934" s="187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  <c r="AB934" s="139"/>
      <c r="AC934" s="139"/>
      <c r="AD934" s="139"/>
      <c r="AE934" s="139"/>
    </row>
    <row r="935" ht="15.75" customHeight="1">
      <c r="A935" s="137"/>
      <c r="B935" s="139"/>
      <c r="C935" s="139"/>
      <c r="D935" s="139"/>
      <c r="E935" s="139"/>
      <c r="F935" s="139"/>
      <c r="G935" s="139"/>
      <c r="H935" s="187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  <c r="AB935" s="139"/>
      <c r="AC935" s="139"/>
      <c r="AD935" s="139"/>
      <c r="AE935" s="139"/>
    </row>
    <row r="936" ht="15.75" customHeight="1">
      <c r="A936" s="137"/>
      <c r="B936" s="139"/>
      <c r="C936" s="139"/>
      <c r="D936" s="139"/>
      <c r="E936" s="139"/>
      <c r="F936" s="139"/>
      <c r="G936" s="139"/>
      <c r="H936" s="187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  <c r="AB936" s="139"/>
      <c r="AC936" s="139"/>
      <c r="AD936" s="139"/>
      <c r="AE936" s="139"/>
    </row>
    <row r="937" ht="15.75" customHeight="1">
      <c r="A937" s="137"/>
      <c r="B937" s="139"/>
      <c r="C937" s="139"/>
      <c r="D937" s="139"/>
      <c r="E937" s="139"/>
      <c r="F937" s="139"/>
      <c r="G937" s="139"/>
      <c r="H937" s="187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  <c r="AB937" s="139"/>
      <c r="AC937" s="139"/>
      <c r="AD937" s="139"/>
      <c r="AE937" s="139"/>
    </row>
    <row r="938" ht="15.75" customHeight="1">
      <c r="A938" s="137"/>
      <c r="B938" s="139"/>
      <c r="C938" s="139"/>
      <c r="D938" s="139"/>
      <c r="E938" s="139"/>
      <c r="F938" s="139"/>
      <c r="G938" s="139"/>
      <c r="H938" s="187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  <c r="AB938" s="139"/>
      <c r="AC938" s="139"/>
      <c r="AD938" s="139"/>
      <c r="AE938" s="139"/>
    </row>
    <row r="939" ht="15.75" customHeight="1">
      <c r="A939" s="137"/>
      <c r="B939" s="139"/>
      <c r="C939" s="139"/>
      <c r="D939" s="139"/>
      <c r="E939" s="139"/>
      <c r="F939" s="139"/>
      <c r="G939" s="139"/>
      <c r="H939" s="187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  <c r="AB939" s="139"/>
      <c r="AC939" s="139"/>
      <c r="AD939" s="139"/>
      <c r="AE939" s="139"/>
    </row>
    <row r="940" ht="15.75" customHeight="1">
      <c r="A940" s="137"/>
      <c r="B940" s="139"/>
      <c r="C940" s="139"/>
      <c r="D940" s="139"/>
      <c r="E940" s="139"/>
      <c r="F940" s="139"/>
      <c r="G940" s="139"/>
      <c r="H940" s="187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  <c r="AB940" s="139"/>
      <c r="AC940" s="139"/>
      <c r="AD940" s="139"/>
      <c r="AE940" s="139"/>
    </row>
    <row r="941" ht="15.75" customHeight="1">
      <c r="A941" s="137"/>
      <c r="B941" s="139"/>
      <c r="C941" s="139"/>
      <c r="D941" s="139"/>
      <c r="E941" s="139"/>
      <c r="F941" s="139"/>
      <c r="G941" s="139"/>
      <c r="H941" s="187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  <c r="AB941" s="139"/>
      <c r="AC941" s="139"/>
      <c r="AD941" s="139"/>
      <c r="AE941" s="139"/>
    </row>
    <row r="942" ht="15.75" customHeight="1">
      <c r="A942" s="137"/>
      <c r="B942" s="139"/>
      <c r="C942" s="139"/>
      <c r="D942" s="139"/>
      <c r="E942" s="139"/>
      <c r="F942" s="139"/>
      <c r="G942" s="139"/>
      <c r="H942" s="187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  <c r="AB942" s="139"/>
      <c r="AC942" s="139"/>
      <c r="AD942" s="139"/>
      <c r="AE942" s="139"/>
    </row>
    <row r="943" ht="15.75" customHeight="1">
      <c r="A943" s="137"/>
      <c r="B943" s="139"/>
      <c r="C943" s="139"/>
      <c r="D943" s="139"/>
      <c r="E943" s="139"/>
      <c r="F943" s="139"/>
      <c r="G943" s="139"/>
      <c r="H943" s="187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  <c r="AB943" s="139"/>
      <c r="AC943" s="139"/>
      <c r="AD943" s="139"/>
      <c r="AE943" s="139"/>
    </row>
    <row r="944" ht="15.75" customHeight="1">
      <c r="A944" s="137"/>
      <c r="B944" s="139"/>
      <c r="C944" s="139"/>
      <c r="D944" s="139"/>
      <c r="E944" s="139"/>
      <c r="F944" s="139"/>
      <c r="G944" s="139"/>
      <c r="H944" s="187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  <c r="AB944" s="139"/>
      <c r="AC944" s="139"/>
      <c r="AD944" s="139"/>
      <c r="AE944" s="139"/>
    </row>
    <row r="945" ht="15.75" customHeight="1">
      <c r="A945" s="137"/>
      <c r="B945" s="139"/>
      <c r="C945" s="139"/>
      <c r="D945" s="139"/>
      <c r="E945" s="139"/>
      <c r="F945" s="139"/>
      <c r="G945" s="139"/>
      <c r="H945" s="187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  <c r="AB945" s="139"/>
      <c r="AC945" s="139"/>
      <c r="AD945" s="139"/>
      <c r="AE945" s="139"/>
    </row>
    <row r="946" ht="15.75" customHeight="1">
      <c r="A946" s="137"/>
      <c r="B946" s="139"/>
      <c r="C946" s="139"/>
      <c r="D946" s="139"/>
      <c r="E946" s="139"/>
      <c r="F946" s="139"/>
      <c r="G946" s="139"/>
      <c r="H946" s="187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  <c r="AB946" s="139"/>
      <c r="AC946" s="139"/>
      <c r="AD946" s="139"/>
      <c r="AE946" s="139"/>
    </row>
    <row r="947" ht="15.75" customHeight="1">
      <c r="A947" s="137"/>
      <c r="B947" s="139"/>
      <c r="C947" s="139"/>
      <c r="D947" s="139"/>
      <c r="E947" s="139"/>
      <c r="F947" s="139"/>
      <c r="G947" s="139"/>
      <c r="H947" s="187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  <c r="AB947" s="139"/>
      <c r="AC947" s="139"/>
      <c r="AD947" s="139"/>
      <c r="AE947" s="139"/>
    </row>
    <row r="948" ht="15.75" customHeight="1">
      <c r="A948" s="137"/>
      <c r="B948" s="139"/>
      <c r="C948" s="139"/>
      <c r="D948" s="139"/>
      <c r="E948" s="139"/>
      <c r="F948" s="139"/>
      <c r="G948" s="139"/>
      <c r="H948" s="187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  <c r="AB948" s="139"/>
      <c r="AC948" s="139"/>
      <c r="AD948" s="139"/>
      <c r="AE948" s="139"/>
    </row>
    <row r="949" ht="15.75" customHeight="1">
      <c r="A949" s="137"/>
      <c r="B949" s="139"/>
      <c r="C949" s="139"/>
      <c r="D949" s="139"/>
      <c r="E949" s="139"/>
      <c r="F949" s="139"/>
      <c r="G949" s="139"/>
      <c r="H949" s="187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  <c r="AB949" s="139"/>
      <c r="AC949" s="139"/>
      <c r="AD949" s="139"/>
      <c r="AE949" s="139"/>
    </row>
    <row r="950" ht="15.75" customHeight="1">
      <c r="A950" s="137"/>
      <c r="B950" s="139"/>
      <c r="C950" s="139"/>
      <c r="D950" s="139"/>
      <c r="E950" s="139"/>
      <c r="F950" s="139"/>
      <c r="G950" s="139"/>
      <c r="H950" s="187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  <c r="AB950" s="139"/>
      <c r="AC950" s="139"/>
      <c r="AD950" s="139"/>
      <c r="AE950" s="139"/>
    </row>
    <row r="951" ht="15.75" customHeight="1">
      <c r="A951" s="137"/>
      <c r="B951" s="139"/>
      <c r="C951" s="139"/>
      <c r="D951" s="139"/>
      <c r="E951" s="139"/>
      <c r="F951" s="139"/>
      <c r="G951" s="139"/>
      <c r="H951" s="187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  <c r="AB951" s="139"/>
      <c r="AC951" s="139"/>
      <c r="AD951" s="139"/>
      <c r="AE951" s="139"/>
    </row>
    <row r="952" ht="15.75" customHeight="1">
      <c r="A952" s="137"/>
      <c r="B952" s="139"/>
      <c r="C952" s="139"/>
      <c r="D952" s="139"/>
      <c r="E952" s="139"/>
      <c r="F952" s="139"/>
      <c r="G952" s="139"/>
      <c r="H952" s="187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  <c r="AB952" s="139"/>
      <c r="AC952" s="139"/>
      <c r="AD952" s="139"/>
      <c r="AE952" s="139"/>
    </row>
    <row r="953" ht="15.75" customHeight="1">
      <c r="A953" s="137"/>
      <c r="B953" s="139"/>
      <c r="C953" s="139"/>
      <c r="D953" s="139"/>
      <c r="E953" s="139"/>
      <c r="F953" s="139"/>
      <c r="G953" s="139"/>
      <c r="H953" s="187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  <c r="AB953" s="139"/>
      <c r="AC953" s="139"/>
      <c r="AD953" s="139"/>
      <c r="AE953" s="139"/>
    </row>
    <row r="954" ht="15.75" customHeight="1">
      <c r="A954" s="137"/>
      <c r="B954" s="139"/>
      <c r="C954" s="139"/>
      <c r="D954" s="139"/>
      <c r="E954" s="139"/>
      <c r="F954" s="139"/>
      <c r="G954" s="139"/>
      <c r="H954" s="187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  <c r="AB954" s="139"/>
      <c r="AC954" s="139"/>
      <c r="AD954" s="139"/>
      <c r="AE954" s="139"/>
    </row>
    <row r="955" ht="15.75" customHeight="1">
      <c r="A955" s="137"/>
      <c r="B955" s="139"/>
      <c r="C955" s="139"/>
      <c r="D955" s="139"/>
      <c r="E955" s="139"/>
      <c r="F955" s="139"/>
      <c r="G955" s="139"/>
      <c r="H955" s="187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  <c r="AB955" s="139"/>
      <c r="AC955" s="139"/>
      <c r="AD955" s="139"/>
      <c r="AE955" s="139"/>
    </row>
    <row r="956" ht="15.75" customHeight="1">
      <c r="A956" s="137"/>
      <c r="B956" s="139"/>
      <c r="C956" s="139"/>
      <c r="D956" s="139"/>
      <c r="E956" s="139"/>
      <c r="F956" s="139"/>
      <c r="G956" s="139"/>
      <c r="H956" s="187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  <c r="AB956" s="139"/>
      <c r="AC956" s="139"/>
      <c r="AD956" s="139"/>
      <c r="AE956" s="139"/>
    </row>
    <row r="957" ht="15.75" customHeight="1">
      <c r="A957" s="137"/>
      <c r="B957" s="139"/>
      <c r="C957" s="139"/>
      <c r="D957" s="139"/>
      <c r="E957" s="139"/>
      <c r="F957" s="139"/>
      <c r="G957" s="139"/>
      <c r="H957" s="187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  <c r="AA957" s="139"/>
      <c r="AB957" s="139"/>
      <c r="AC957" s="139"/>
      <c r="AD957" s="139"/>
      <c r="AE957" s="139"/>
    </row>
    <row r="958" ht="15.75" customHeight="1">
      <c r="A958" s="137"/>
      <c r="B958" s="139"/>
      <c r="C958" s="139"/>
      <c r="D958" s="139"/>
      <c r="E958" s="139"/>
      <c r="F958" s="139"/>
      <c r="G958" s="139"/>
      <c r="H958" s="187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  <c r="AA958" s="139"/>
      <c r="AB958" s="139"/>
      <c r="AC958" s="139"/>
      <c r="AD958" s="139"/>
      <c r="AE958" s="139"/>
    </row>
    <row r="959" ht="15.75" customHeight="1">
      <c r="A959" s="137"/>
      <c r="B959" s="139"/>
      <c r="C959" s="139"/>
      <c r="D959" s="139"/>
      <c r="E959" s="139"/>
      <c r="F959" s="139"/>
      <c r="G959" s="139"/>
      <c r="H959" s="187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  <c r="AA959" s="139"/>
      <c r="AB959" s="139"/>
      <c r="AC959" s="139"/>
      <c r="AD959" s="139"/>
      <c r="AE959" s="139"/>
    </row>
    <row r="960" ht="15.75" customHeight="1">
      <c r="A960" s="137"/>
      <c r="B960" s="139"/>
      <c r="C960" s="139"/>
      <c r="D960" s="139"/>
      <c r="E960" s="139"/>
      <c r="F960" s="139"/>
      <c r="G960" s="139"/>
      <c r="H960" s="187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  <c r="AA960" s="139"/>
      <c r="AB960" s="139"/>
      <c r="AC960" s="139"/>
      <c r="AD960" s="139"/>
      <c r="AE960" s="139"/>
    </row>
    <row r="961" ht="15.75" customHeight="1">
      <c r="A961" s="137"/>
      <c r="B961" s="139"/>
      <c r="C961" s="139"/>
      <c r="D961" s="139"/>
      <c r="E961" s="139"/>
      <c r="F961" s="139"/>
      <c r="G961" s="139"/>
      <c r="H961" s="187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  <c r="AA961" s="139"/>
      <c r="AB961" s="139"/>
      <c r="AC961" s="139"/>
      <c r="AD961" s="139"/>
      <c r="AE961" s="139"/>
    </row>
    <row r="962" ht="15.75" customHeight="1">
      <c r="A962" s="137"/>
      <c r="B962" s="139"/>
      <c r="C962" s="139"/>
      <c r="D962" s="139"/>
      <c r="E962" s="139"/>
      <c r="F962" s="139"/>
      <c r="G962" s="139"/>
      <c r="H962" s="187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  <c r="AB962" s="139"/>
      <c r="AC962" s="139"/>
      <c r="AD962" s="139"/>
      <c r="AE962" s="139"/>
    </row>
    <row r="963" ht="15.75" customHeight="1">
      <c r="A963" s="137"/>
      <c r="B963" s="139"/>
      <c r="C963" s="139"/>
      <c r="D963" s="139"/>
      <c r="E963" s="139"/>
      <c r="F963" s="139"/>
      <c r="G963" s="139"/>
      <c r="H963" s="187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  <c r="AA963" s="139"/>
      <c r="AB963" s="139"/>
      <c r="AC963" s="139"/>
      <c r="AD963" s="139"/>
      <c r="AE963" s="139"/>
    </row>
    <row r="964" ht="15.75" customHeight="1">
      <c r="A964" s="137"/>
      <c r="B964" s="139"/>
      <c r="C964" s="139"/>
      <c r="D964" s="139"/>
      <c r="E964" s="139"/>
      <c r="F964" s="139"/>
      <c r="G964" s="139"/>
      <c r="H964" s="187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  <c r="AA964" s="139"/>
      <c r="AB964" s="139"/>
      <c r="AC964" s="139"/>
      <c r="AD964" s="139"/>
      <c r="AE964" s="139"/>
    </row>
    <row r="965" ht="15.75" customHeight="1">
      <c r="A965" s="137"/>
      <c r="B965" s="139"/>
      <c r="C965" s="139"/>
      <c r="D965" s="139"/>
      <c r="E965" s="139"/>
      <c r="F965" s="139"/>
      <c r="G965" s="139"/>
      <c r="H965" s="187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  <c r="AA965" s="139"/>
      <c r="AB965" s="139"/>
      <c r="AC965" s="139"/>
      <c r="AD965" s="139"/>
      <c r="AE965" s="139"/>
    </row>
    <row r="966" ht="15.75" customHeight="1">
      <c r="A966" s="137"/>
      <c r="B966" s="139"/>
      <c r="C966" s="139"/>
      <c r="D966" s="139"/>
      <c r="E966" s="139"/>
      <c r="F966" s="139"/>
      <c r="G966" s="139"/>
      <c r="H966" s="187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  <c r="AA966" s="139"/>
      <c r="AB966" s="139"/>
      <c r="AC966" s="139"/>
      <c r="AD966" s="139"/>
      <c r="AE966" s="139"/>
    </row>
    <row r="967" ht="15.75" customHeight="1">
      <c r="A967" s="137"/>
      <c r="B967" s="139"/>
      <c r="C967" s="139"/>
      <c r="D967" s="139"/>
      <c r="E967" s="139"/>
      <c r="F967" s="139"/>
      <c r="G967" s="139"/>
      <c r="H967" s="187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  <c r="AA967" s="139"/>
      <c r="AB967" s="139"/>
      <c r="AC967" s="139"/>
      <c r="AD967" s="139"/>
      <c r="AE967" s="139"/>
    </row>
    <row r="968" ht="15.75" customHeight="1">
      <c r="A968" s="137"/>
      <c r="B968" s="139"/>
      <c r="C968" s="139"/>
      <c r="D968" s="139"/>
      <c r="E968" s="139"/>
      <c r="F968" s="139"/>
      <c r="G968" s="139"/>
      <c r="H968" s="187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  <c r="AA968" s="139"/>
      <c r="AB968" s="139"/>
      <c r="AC968" s="139"/>
      <c r="AD968" s="139"/>
      <c r="AE968" s="139"/>
    </row>
    <row r="969" ht="15.75" customHeight="1">
      <c r="A969" s="137"/>
      <c r="B969" s="139"/>
      <c r="C969" s="139"/>
      <c r="D969" s="139"/>
      <c r="E969" s="139"/>
      <c r="F969" s="139"/>
      <c r="G969" s="139"/>
      <c r="H969" s="187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  <c r="AA969" s="139"/>
      <c r="AB969" s="139"/>
      <c r="AC969" s="139"/>
      <c r="AD969" s="139"/>
      <c r="AE969" s="139"/>
    </row>
    <row r="970" ht="15.75" customHeight="1">
      <c r="A970" s="137"/>
      <c r="B970" s="139"/>
      <c r="C970" s="139"/>
      <c r="D970" s="139"/>
      <c r="E970" s="139"/>
      <c r="F970" s="139"/>
      <c r="G970" s="139"/>
      <c r="H970" s="187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  <c r="AA970" s="139"/>
      <c r="AB970" s="139"/>
      <c r="AC970" s="139"/>
      <c r="AD970" s="139"/>
      <c r="AE970" s="139"/>
    </row>
    <row r="971" ht="15.75" customHeight="1">
      <c r="A971" s="137"/>
      <c r="B971" s="139"/>
      <c r="C971" s="139"/>
      <c r="D971" s="139"/>
      <c r="E971" s="139"/>
      <c r="F971" s="139"/>
      <c r="G971" s="139"/>
      <c r="H971" s="187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  <c r="AA971" s="139"/>
      <c r="AB971" s="139"/>
      <c r="AC971" s="139"/>
      <c r="AD971" s="139"/>
      <c r="AE971" s="139"/>
    </row>
    <row r="972" ht="15.75" customHeight="1">
      <c r="A972" s="137"/>
      <c r="B972" s="139"/>
      <c r="C972" s="139"/>
      <c r="D972" s="139"/>
      <c r="E972" s="139"/>
      <c r="F972" s="139"/>
      <c r="G972" s="139"/>
      <c r="H972" s="187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  <c r="AB972" s="139"/>
      <c r="AC972" s="139"/>
      <c r="AD972" s="139"/>
      <c r="AE972" s="139"/>
    </row>
    <row r="973" ht="15.75" customHeight="1">
      <c r="A973" s="137"/>
      <c r="B973" s="139"/>
      <c r="C973" s="139"/>
      <c r="D973" s="139"/>
      <c r="E973" s="139"/>
      <c r="F973" s="139"/>
      <c r="G973" s="139"/>
      <c r="H973" s="187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  <c r="AA973" s="139"/>
      <c r="AB973" s="139"/>
      <c r="AC973" s="139"/>
      <c r="AD973" s="139"/>
      <c r="AE973" s="139"/>
    </row>
    <row r="974" ht="15.75" customHeight="1">
      <c r="A974" s="137"/>
      <c r="B974" s="139"/>
      <c r="C974" s="139"/>
      <c r="D974" s="139"/>
      <c r="E974" s="139"/>
      <c r="F974" s="139"/>
      <c r="G974" s="139"/>
      <c r="H974" s="187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  <c r="AA974" s="139"/>
      <c r="AB974" s="139"/>
      <c r="AC974" s="139"/>
      <c r="AD974" s="139"/>
      <c r="AE974" s="139"/>
    </row>
    <row r="975" ht="15.75" customHeight="1">
      <c r="A975" s="137"/>
      <c r="B975" s="139"/>
      <c r="C975" s="139"/>
      <c r="D975" s="139"/>
      <c r="E975" s="139"/>
      <c r="F975" s="139"/>
      <c r="G975" s="139"/>
      <c r="H975" s="187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  <c r="AA975" s="139"/>
      <c r="AB975" s="139"/>
      <c r="AC975" s="139"/>
      <c r="AD975" s="139"/>
      <c r="AE975" s="139"/>
    </row>
    <row r="976" ht="15.75" customHeight="1">
      <c r="A976" s="137"/>
      <c r="B976" s="139"/>
      <c r="C976" s="139"/>
      <c r="D976" s="139"/>
      <c r="E976" s="139"/>
      <c r="F976" s="139"/>
      <c r="G976" s="139"/>
      <c r="H976" s="187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  <c r="AA976" s="139"/>
      <c r="AB976" s="139"/>
      <c r="AC976" s="139"/>
      <c r="AD976" s="139"/>
      <c r="AE976" s="139"/>
    </row>
    <row r="977" ht="15.75" customHeight="1">
      <c r="A977" s="137"/>
      <c r="B977" s="139"/>
      <c r="C977" s="139"/>
      <c r="D977" s="139"/>
      <c r="E977" s="139"/>
      <c r="F977" s="139"/>
      <c r="G977" s="139"/>
      <c r="H977" s="187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  <c r="AA977" s="139"/>
      <c r="AB977" s="139"/>
      <c r="AC977" s="139"/>
      <c r="AD977" s="139"/>
      <c r="AE977" s="139"/>
    </row>
    <row r="978" ht="15.75" customHeight="1">
      <c r="A978" s="137"/>
      <c r="B978" s="139"/>
      <c r="C978" s="139"/>
      <c r="D978" s="139"/>
      <c r="E978" s="139"/>
      <c r="F978" s="139"/>
      <c r="G978" s="139"/>
      <c r="H978" s="187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  <c r="AA978" s="139"/>
      <c r="AB978" s="139"/>
      <c r="AC978" s="139"/>
      <c r="AD978" s="139"/>
      <c r="AE978" s="139"/>
    </row>
    <row r="979" ht="15.75" customHeight="1">
      <c r="A979" s="137"/>
      <c r="B979" s="139"/>
      <c r="C979" s="139"/>
      <c r="D979" s="139"/>
      <c r="E979" s="139"/>
      <c r="F979" s="139"/>
      <c r="G979" s="139"/>
      <c r="H979" s="187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  <c r="AA979" s="139"/>
      <c r="AB979" s="139"/>
      <c r="AC979" s="139"/>
      <c r="AD979" s="139"/>
      <c r="AE979" s="139"/>
    </row>
    <row r="980" ht="15.75" customHeight="1">
      <c r="A980" s="137"/>
      <c r="B980" s="139"/>
      <c r="C980" s="139"/>
      <c r="D980" s="139"/>
      <c r="E980" s="139"/>
      <c r="F980" s="139"/>
      <c r="G980" s="139"/>
      <c r="H980" s="187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  <c r="AA980" s="139"/>
      <c r="AB980" s="139"/>
      <c r="AC980" s="139"/>
      <c r="AD980" s="139"/>
      <c r="AE980" s="139"/>
    </row>
    <row r="981" ht="15.75" customHeight="1">
      <c r="A981" s="137"/>
      <c r="B981" s="139"/>
      <c r="C981" s="139"/>
      <c r="D981" s="139"/>
      <c r="E981" s="139"/>
      <c r="F981" s="139"/>
      <c r="G981" s="139"/>
      <c r="H981" s="187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  <c r="AA981" s="139"/>
      <c r="AB981" s="139"/>
      <c r="AC981" s="139"/>
      <c r="AD981" s="139"/>
      <c r="AE981" s="139"/>
    </row>
    <row r="982" ht="15.75" customHeight="1">
      <c r="A982" s="137"/>
      <c r="B982" s="139"/>
      <c r="C982" s="139"/>
      <c r="D982" s="139"/>
      <c r="E982" s="139"/>
      <c r="F982" s="139"/>
      <c r="G982" s="139"/>
      <c r="H982" s="187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  <c r="AA982" s="139"/>
      <c r="AB982" s="139"/>
      <c r="AC982" s="139"/>
      <c r="AD982" s="139"/>
      <c r="AE982" s="139"/>
    </row>
    <row r="983" ht="15.75" customHeight="1">
      <c r="A983" s="137"/>
      <c r="B983" s="139"/>
      <c r="C983" s="139"/>
      <c r="D983" s="139"/>
      <c r="E983" s="139"/>
      <c r="F983" s="139"/>
      <c r="G983" s="139"/>
      <c r="H983" s="187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  <c r="AA983" s="139"/>
      <c r="AB983" s="139"/>
      <c r="AC983" s="139"/>
      <c r="AD983" s="139"/>
      <c r="AE983" s="139"/>
    </row>
    <row r="984" ht="15.75" customHeight="1">
      <c r="A984" s="137"/>
      <c r="B984" s="139"/>
      <c r="C984" s="139"/>
      <c r="D984" s="139"/>
      <c r="E984" s="139"/>
      <c r="F984" s="139"/>
      <c r="G984" s="139"/>
      <c r="H984" s="187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  <c r="AA984" s="139"/>
      <c r="AB984" s="139"/>
      <c r="AC984" s="139"/>
      <c r="AD984" s="139"/>
      <c r="AE984" s="139"/>
    </row>
    <row r="985" ht="15.75" customHeight="1">
      <c r="A985" s="137"/>
      <c r="B985" s="139"/>
      <c r="C985" s="139"/>
      <c r="D985" s="139"/>
      <c r="E985" s="139"/>
      <c r="F985" s="139"/>
      <c r="G985" s="139"/>
      <c r="H985" s="187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  <c r="AA985" s="139"/>
      <c r="AB985" s="139"/>
      <c r="AC985" s="139"/>
      <c r="AD985" s="139"/>
      <c r="AE985" s="139"/>
    </row>
    <row r="986" ht="15.75" customHeight="1">
      <c r="A986" s="137"/>
      <c r="B986" s="139"/>
      <c r="C986" s="139"/>
      <c r="D986" s="139"/>
      <c r="E986" s="139"/>
      <c r="F986" s="139"/>
      <c r="G986" s="139"/>
      <c r="H986" s="187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  <c r="AA986" s="139"/>
      <c r="AB986" s="139"/>
      <c r="AC986" s="139"/>
      <c r="AD986" s="139"/>
      <c r="AE986" s="139"/>
    </row>
    <row r="987" ht="15.75" customHeight="1">
      <c r="A987" s="137"/>
      <c r="B987" s="139"/>
      <c r="C987" s="139"/>
      <c r="D987" s="139"/>
      <c r="E987" s="139"/>
      <c r="F987" s="139"/>
      <c r="G987" s="139"/>
      <c r="H987" s="187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  <c r="AA987" s="139"/>
      <c r="AB987" s="139"/>
      <c r="AC987" s="139"/>
      <c r="AD987" s="139"/>
      <c r="AE987" s="139"/>
    </row>
    <row r="988" ht="15.75" customHeight="1">
      <c r="A988" s="137"/>
      <c r="B988" s="139"/>
      <c r="C988" s="139"/>
      <c r="D988" s="139"/>
      <c r="E988" s="139"/>
      <c r="F988" s="139"/>
      <c r="G988" s="139"/>
      <c r="H988" s="187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  <c r="AA988" s="139"/>
      <c r="AB988" s="139"/>
      <c r="AC988" s="139"/>
      <c r="AD988" s="139"/>
      <c r="AE988" s="139"/>
    </row>
    <row r="989" ht="15.75" customHeight="1">
      <c r="A989" s="137"/>
      <c r="B989" s="139"/>
      <c r="C989" s="139"/>
      <c r="D989" s="139"/>
      <c r="E989" s="139"/>
      <c r="F989" s="139"/>
      <c r="G989" s="139"/>
      <c r="H989" s="187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  <c r="AA989" s="139"/>
      <c r="AB989" s="139"/>
      <c r="AC989" s="139"/>
      <c r="AD989" s="139"/>
      <c r="AE989" s="139"/>
    </row>
    <row r="990" ht="15.75" customHeight="1">
      <c r="A990" s="137"/>
      <c r="B990" s="139"/>
      <c r="C990" s="139"/>
      <c r="D990" s="139"/>
      <c r="E990" s="139"/>
      <c r="F990" s="139"/>
      <c r="G990" s="139"/>
      <c r="H990" s="187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  <c r="AA990" s="139"/>
      <c r="AB990" s="139"/>
      <c r="AC990" s="139"/>
      <c r="AD990" s="139"/>
      <c r="AE990" s="139"/>
    </row>
    <row r="991" ht="15.75" customHeight="1">
      <c r="A991" s="137"/>
      <c r="B991" s="139"/>
      <c r="C991" s="139"/>
      <c r="D991" s="139"/>
      <c r="E991" s="139"/>
      <c r="F991" s="139"/>
      <c r="G991" s="139"/>
      <c r="H991" s="187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  <c r="AA991" s="139"/>
      <c r="AB991" s="139"/>
      <c r="AC991" s="139"/>
      <c r="AD991" s="139"/>
      <c r="AE991" s="139"/>
    </row>
    <row r="992" ht="15.75" customHeight="1">
      <c r="A992" s="137"/>
      <c r="B992" s="139"/>
      <c r="C992" s="139"/>
      <c r="D992" s="139"/>
      <c r="E992" s="139"/>
      <c r="F992" s="139"/>
      <c r="G992" s="139"/>
      <c r="H992" s="187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  <c r="AA992" s="139"/>
      <c r="AB992" s="139"/>
      <c r="AC992" s="139"/>
      <c r="AD992" s="139"/>
      <c r="AE992" s="139"/>
    </row>
    <row r="993" ht="15.75" customHeight="1">
      <c r="A993" s="137"/>
      <c r="B993" s="139"/>
      <c r="C993" s="139"/>
      <c r="D993" s="139"/>
      <c r="E993" s="139"/>
      <c r="F993" s="139"/>
      <c r="G993" s="139"/>
      <c r="H993" s="187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  <c r="AA993" s="139"/>
      <c r="AB993" s="139"/>
      <c r="AC993" s="139"/>
      <c r="AD993" s="139"/>
      <c r="AE993" s="139"/>
    </row>
    <row r="994" ht="15.75" customHeight="1">
      <c r="A994" s="137"/>
      <c r="B994" s="139"/>
      <c r="C994" s="139"/>
      <c r="D994" s="139"/>
      <c r="E994" s="139"/>
      <c r="F994" s="139"/>
      <c r="G994" s="139"/>
      <c r="H994" s="187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  <c r="AA994" s="139"/>
      <c r="AB994" s="139"/>
      <c r="AC994" s="139"/>
      <c r="AD994" s="139"/>
      <c r="AE994" s="139"/>
    </row>
    <row r="995" ht="15.75" customHeight="1">
      <c r="A995" s="137"/>
      <c r="B995" s="139"/>
      <c r="C995" s="139"/>
      <c r="D995" s="139"/>
      <c r="E995" s="139"/>
      <c r="F995" s="139"/>
      <c r="G995" s="139"/>
      <c r="H995" s="187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  <c r="AA995" s="139"/>
      <c r="AB995" s="139"/>
      <c r="AC995" s="139"/>
      <c r="AD995" s="139"/>
      <c r="AE995" s="139"/>
    </row>
    <row r="996" ht="15.75" customHeight="1">
      <c r="A996" s="137"/>
      <c r="B996" s="139"/>
      <c r="C996" s="139"/>
      <c r="D996" s="139"/>
      <c r="E996" s="139"/>
      <c r="F996" s="139"/>
      <c r="G996" s="139"/>
      <c r="H996" s="187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  <c r="AA996" s="139"/>
      <c r="AB996" s="139"/>
      <c r="AC996" s="139"/>
      <c r="AD996" s="139"/>
      <c r="AE996" s="139"/>
    </row>
    <row r="997" ht="15.75" customHeight="1">
      <c r="A997" s="137"/>
      <c r="B997" s="139"/>
      <c r="C997" s="139"/>
      <c r="D997" s="139"/>
      <c r="E997" s="139"/>
      <c r="F997" s="139"/>
      <c r="G997" s="139"/>
      <c r="H997" s="187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  <c r="AA997" s="139"/>
      <c r="AB997" s="139"/>
      <c r="AC997" s="139"/>
      <c r="AD997" s="139"/>
      <c r="AE997" s="139"/>
    </row>
    <row r="998" ht="15.75" customHeight="1">
      <c r="A998" s="137"/>
      <c r="B998" s="139"/>
      <c r="C998" s="139"/>
      <c r="D998" s="139"/>
      <c r="E998" s="139"/>
      <c r="F998" s="139"/>
      <c r="G998" s="139"/>
      <c r="H998" s="187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  <c r="AA998" s="139"/>
      <c r="AB998" s="139"/>
      <c r="AC998" s="139"/>
      <c r="AD998" s="139"/>
      <c r="AE998" s="139"/>
    </row>
    <row r="999" ht="15.75" customHeight="1">
      <c r="A999" s="137"/>
      <c r="B999" s="139"/>
      <c r="C999" s="139"/>
      <c r="D999" s="139"/>
      <c r="E999" s="139"/>
      <c r="F999" s="139"/>
      <c r="G999" s="139"/>
      <c r="H999" s="187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  <c r="AA999" s="139"/>
      <c r="AB999" s="139"/>
      <c r="AC999" s="139"/>
      <c r="AD999" s="139"/>
      <c r="AE999" s="139"/>
    </row>
    <row r="1000" ht="15.75" customHeight="1">
      <c r="A1000" s="137"/>
      <c r="B1000" s="139"/>
      <c r="C1000" s="139"/>
      <c r="D1000" s="139"/>
      <c r="E1000" s="139"/>
      <c r="F1000" s="139"/>
      <c r="G1000" s="139"/>
      <c r="H1000" s="187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  <c r="AA1000" s="139"/>
      <c r="AB1000" s="139"/>
      <c r="AC1000" s="139"/>
      <c r="AD1000" s="139"/>
      <c r="AE1000" s="139"/>
    </row>
    <row r="1001" ht="15.75" customHeight="1">
      <c r="A1001" s="137"/>
      <c r="B1001" s="139"/>
      <c r="C1001" s="139"/>
      <c r="D1001" s="139"/>
      <c r="E1001" s="139"/>
      <c r="F1001" s="139"/>
      <c r="G1001" s="139"/>
      <c r="H1001" s="187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  <c r="AA1001" s="139"/>
      <c r="AB1001" s="139"/>
      <c r="AC1001" s="139"/>
      <c r="AD1001" s="139"/>
      <c r="AE1001" s="139"/>
    </row>
    <row r="1002" ht="15.75" customHeight="1">
      <c r="A1002" s="137"/>
      <c r="B1002" s="139"/>
      <c r="C1002" s="139"/>
      <c r="D1002" s="139"/>
      <c r="E1002" s="139"/>
      <c r="F1002" s="139"/>
      <c r="G1002" s="139"/>
      <c r="H1002" s="187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  <c r="AA1002" s="139"/>
      <c r="AB1002" s="139"/>
      <c r="AC1002" s="139"/>
      <c r="AD1002" s="139"/>
      <c r="AE1002" s="139"/>
    </row>
    <row r="1003" ht="15.75" customHeight="1">
      <c r="A1003" s="137"/>
      <c r="B1003" s="139"/>
      <c r="C1003" s="139"/>
      <c r="D1003" s="139"/>
      <c r="E1003" s="139"/>
      <c r="F1003" s="139"/>
      <c r="G1003" s="139"/>
      <c r="H1003" s="187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  <c r="AA1003" s="139"/>
      <c r="AB1003" s="139"/>
      <c r="AC1003" s="139"/>
      <c r="AD1003" s="139"/>
      <c r="AE1003" s="139"/>
    </row>
    <row r="1004" ht="15.75" customHeight="1">
      <c r="A1004" s="137"/>
      <c r="B1004" s="139"/>
      <c r="C1004" s="139"/>
      <c r="D1004" s="139"/>
      <c r="E1004" s="139"/>
      <c r="F1004" s="139"/>
      <c r="G1004" s="139"/>
      <c r="H1004" s="187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  <c r="AA1004" s="139"/>
      <c r="AB1004" s="139"/>
      <c r="AC1004" s="139"/>
      <c r="AD1004" s="139"/>
      <c r="AE1004" s="139"/>
    </row>
    <row r="1005" ht="15.75" customHeight="1">
      <c r="A1005" s="137"/>
      <c r="B1005" s="139"/>
      <c r="C1005" s="139"/>
      <c r="D1005" s="139"/>
      <c r="E1005" s="139"/>
      <c r="F1005" s="139"/>
      <c r="G1005" s="139"/>
      <c r="H1005" s="187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  <c r="AA1005" s="139"/>
      <c r="AB1005" s="139"/>
      <c r="AC1005" s="139"/>
      <c r="AD1005" s="139"/>
      <c r="AE1005" s="139"/>
    </row>
  </sheetData>
  <mergeCells count="2">
    <mergeCell ref="B2:D2"/>
    <mergeCell ref="F2:H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27.0"/>
    <col customWidth="1" min="3" max="3" width="14.14"/>
    <col customWidth="1" min="4" max="4" width="15.57"/>
    <col customWidth="1" min="5" max="5" width="15.86"/>
    <col customWidth="1" min="6" max="6" width="11.43"/>
    <col customWidth="1" min="7" max="8" width="14.57"/>
    <col customWidth="1" min="9" max="9" width="13.86"/>
    <col customWidth="1" min="10" max="10" width="11.43"/>
    <col customWidth="1" min="11" max="11" width="27.57"/>
    <col customWidth="1" min="12" max="13" width="19.86"/>
    <col customWidth="1" min="14" max="14" width="14.0"/>
    <col customWidth="1" min="15" max="26" width="11.43"/>
    <col customWidth="1" hidden="1" min="27" max="28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8" t="s">
        <v>109</v>
      </c>
      <c r="C5" s="9"/>
      <c r="D5" s="9"/>
      <c r="E5" s="9"/>
      <c r="F5" s="9"/>
      <c r="G5" s="10"/>
      <c r="H5" s="1"/>
      <c r="I5" s="1"/>
      <c r="J5" s="1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1" t="s">
        <v>110</v>
      </c>
      <c r="C6" s="12" t="s">
        <v>111</v>
      </c>
      <c r="D6" s="12" t="s">
        <v>9</v>
      </c>
      <c r="E6" s="12" t="s">
        <v>6</v>
      </c>
      <c r="F6" s="12" t="s">
        <v>112</v>
      </c>
      <c r="G6" s="13" t="s">
        <v>7</v>
      </c>
      <c r="H6" s="188" t="s">
        <v>63</v>
      </c>
      <c r="I6" s="188" t="s">
        <v>64</v>
      </c>
      <c r="J6" s="3"/>
      <c r="K6" s="189" t="s">
        <v>113</v>
      </c>
      <c r="L6" s="190" t="s">
        <v>114</v>
      </c>
      <c r="M6" s="191" t="s">
        <v>115</v>
      </c>
      <c r="N6" s="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35" t="str">
        <f t="shared" ref="B7:B199" si="1">AB7</f>
        <v>Salario</v>
      </c>
      <c r="C7" s="192" t="str">
        <f>IF(B7="","",IF((IFERROR(MATCH(B7,'MIS FINANZAS'!$B$7:$B$103,0),0))&gt;0,"Ingreso","Gasto"))</f>
        <v>Ingreso</v>
      </c>
      <c r="D7" s="192" t="str">
        <f>IFERROR(IF(C7="Ingreso",VLOOKUP(B7,'MIS FINANZAS'!$B$7:$F$103,2,0),VLOOKUP(B7,'MIS FINANZAS'!$H$7:$L$103,2,0)),"")</f>
        <v>Fijo</v>
      </c>
      <c r="E7" s="192" t="str">
        <f>IFERROR(IFERROR(VLOOKUP(B7,'MIS FINANZAS'!$B$7:$F$103,4,0),VLOOKUP(B7,'MIS FINANZAS'!$H$7:$L$103,4,0)),"")</f>
        <v>Salario</v>
      </c>
      <c r="F7" s="192" t="str">
        <f>IFERROR(IF(C7="Ingreso",VLOOKUP(B7,'MIS FINANZAS'!$B$7:$F$103,3,0),VLOOKUP(B7,'MIS FINANZAS'!$H$7:$L$103,3,0)),"")</f>
        <v>Mensual</v>
      </c>
      <c r="G7" s="193">
        <f>IF(D7="No tan necesario",VLOOKUP(B7,'OPORTUNIDADES DE MEJORA'!$AL$7:$AQ$103,6,0),IF(D7="No necesario",VLOOKUP(B7,'OPORTUNIDADES DE MEJORA'!$AL$7:$AQ$103,6,0),IF(D7="Necesario",VLOOKUP(B7,'MIS FINANZAS'!$H$7:$L$103,5,0),IF(C7="Ingreso",VLOOKUP(B7,'MIS FINANZAS'!$B$7:$F$103,5,0),""))))</f>
        <v>4000000</v>
      </c>
      <c r="H7" s="194">
        <f t="shared" ref="H7:H199" si="2">IF(F7="Mensual",G7,IF(F7="Bimensual",G7/2,IF(F7="Trimestral",G7/3,IF(F7="Semestral",G7/6,IF(F7="Anual",G7/12,"")))))</f>
        <v>4000000</v>
      </c>
      <c r="I7" s="193">
        <f t="shared" ref="I7:I199" si="3">IF(H7="","", IFERROR(H7*12,""))</f>
        <v>48000000</v>
      </c>
      <c r="J7" s="3"/>
      <c r="K7" s="195" t="s">
        <v>10</v>
      </c>
      <c r="L7" s="194">
        <f t="shared" ref="L7:L20" si="4">SUMIF($E$7:$E$199,K7,$H$7:$H$199)</f>
        <v>4000000</v>
      </c>
      <c r="M7" s="193">
        <f t="shared" ref="M7:M20" si="5">SUMIF($E$7:$E$199,K7,$I$7:$I$199)</f>
        <v>48000000</v>
      </c>
      <c r="N7" s="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>
        <v>1.0</v>
      </c>
      <c r="AB7" s="1" t="str">
        <f>IFERROR(IFERROR(VLOOKUP(AA7,'MIS FINANZAS'!$AQ$7:$AR$103,2,0),VLOOKUP(AA7,'MIS FINANZAS'!$AS$7:$AT$103,2,0)),"")</f>
        <v>Salario</v>
      </c>
    </row>
    <row r="8">
      <c r="A8" s="1"/>
      <c r="B8" s="14" t="str">
        <f t="shared" si="1"/>
        <v>Prima salario</v>
      </c>
      <c r="C8" s="119" t="str">
        <f>IF(B8="","",IF((IFERROR(MATCH(B8,'MIS FINANZAS'!$B$7:$B$103,0),0))&gt;0,"Ingreso","Gasto"))</f>
        <v>Ingreso</v>
      </c>
      <c r="D8" s="119" t="str">
        <f>IFERROR(IF(C8="Ingreso",VLOOKUP(B8,'MIS FINANZAS'!$B$7:$F$103,2,0),VLOOKUP(B8,'MIS FINANZAS'!$H$7:$L$103,2,0)),"")</f>
        <v>Fijo</v>
      </c>
      <c r="E8" s="119" t="str">
        <f>IFERROR(IFERROR(VLOOKUP(B8,'MIS FINANZAS'!$B$7:$F$103,4,0),VLOOKUP(B8,'MIS FINANZAS'!$H$7:$L$103,4,0)),"")</f>
        <v>Otros ingresos</v>
      </c>
      <c r="F8" s="119" t="str">
        <f>IFERROR(IF(C8="Ingreso",VLOOKUP(B8,'MIS FINANZAS'!$B$7:$F$103,3,0),VLOOKUP(B8,'MIS FINANZAS'!$H$7:$L$103,3,0)),"")</f>
        <v>Semestral</v>
      </c>
      <c r="G8" s="196">
        <f>IF(D8="No tan necesario",VLOOKUP(B8,'OPORTUNIDADES DE MEJORA'!$AL$7:$AQ$103,6,0),IF(D8="No necesario",VLOOKUP(B8,'OPORTUNIDADES DE MEJORA'!$AL$7:$AQ$103,6,0),IF(D8="Necesario",VLOOKUP(B8,'MIS FINANZAS'!$H$7:$L$103,5,0),IF(C8="Ingreso",VLOOKUP(B8,'MIS FINANZAS'!$B$7:$F$103,5,0),""))))</f>
        <v>2000000</v>
      </c>
      <c r="H8" s="17">
        <f t="shared" si="2"/>
        <v>333333.3333</v>
      </c>
      <c r="I8" s="196">
        <f t="shared" si="3"/>
        <v>4000000</v>
      </c>
      <c r="J8" s="3"/>
      <c r="K8" s="197" t="s">
        <v>23</v>
      </c>
      <c r="L8" s="17">
        <f t="shared" si="4"/>
        <v>1166666.667</v>
      </c>
      <c r="M8" s="196">
        <f t="shared" si="5"/>
        <v>14000000</v>
      </c>
      <c r="N8" s="19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>
        <v>2.0</v>
      </c>
      <c r="AB8" s="1" t="str">
        <f>IFERROR(IFERROR(VLOOKUP(AA8,'MIS FINANZAS'!$AQ$7:$AR$103,2,0),VLOOKUP(AA8,'MIS FINANZAS'!$AS$7:$AT$103,2,0)),"")</f>
        <v>Prima salario</v>
      </c>
    </row>
    <row r="9">
      <c r="A9" s="1"/>
      <c r="B9" s="14" t="str">
        <f t="shared" si="1"/>
        <v>Proyectos asesorias</v>
      </c>
      <c r="C9" s="119" t="str">
        <f>IF(B9="","",IF((IFERROR(MATCH(B9,'MIS FINANZAS'!$B$7:$B$103,0),0))&gt;0,"Ingreso","Gasto"))</f>
        <v>Ingreso</v>
      </c>
      <c r="D9" s="119" t="str">
        <f>IFERROR(IF(C9="Ingreso",VLOOKUP(B9,'MIS FINANZAS'!$B$7:$F$103,2,0),VLOOKUP(B9,'MIS FINANZAS'!$H$7:$L$103,2,0)),"")</f>
        <v>Variable</v>
      </c>
      <c r="E9" s="119" t="str">
        <f>IFERROR(IFERROR(VLOOKUP(B9,'MIS FINANZAS'!$B$7:$F$103,4,0),VLOOKUP(B9,'MIS FINANZAS'!$H$7:$L$103,4,0)),"")</f>
        <v>Negocio</v>
      </c>
      <c r="F9" s="119" t="str">
        <f>IFERROR(IF(C9="Ingreso",VLOOKUP(B9,'MIS FINANZAS'!$B$7:$F$103,3,0),VLOOKUP(B9,'MIS FINANZAS'!$H$7:$L$103,3,0)),"")</f>
        <v>Trimestral</v>
      </c>
      <c r="G9" s="196">
        <f>IF(D9="No tan necesario",VLOOKUP(B9,'OPORTUNIDADES DE MEJORA'!$AL$7:$AQ$103,6,0),IF(D9="No necesario",VLOOKUP(B9,'OPORTUNIDADES DE MEJORA'!$AL$7:$AQ$103,6,0),IF(D9="Necesario",VLOOKUP(B9,'MIS FINANZAS'!$H$7:$L$103,5,0),IF(C9="Ingreso",VLOOKUP(B9,'MIS FINANZAS'!$B$7:$F$103,5,0),""))))</f>
        <v>3500000</v>
      </c>
      <c r="H9" s="17">
        <f t="shared" si="2"/>
        <v>1166666.667</v>
      </c>
      <c r="I9" s="196">
        <f t="shared" si="3"/>
        <v>14000000</v>
      </c>
      <c r="J9" s="3"/>
      <c r="K9" s="197" t="s">
        <v>28</v>
      </c>
      <c r="L9" s="17">
        <f t="shared" si="4"/>
        <v>166666.6667</v>
      </c>
      <c r="M9" s="196">
        <f t="shared" si="5"/>
        <v>2000000</v>
      </c>
      <c r="N9" s="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>
        <v>3.0</v>
      </c>
      <c r="AB9" s="1" t="str">
        <f>IFERROR(IFERROR(VLOOKUP(AA9,'MIS FINANZAS'!$AQ$7:$AR$103,2,0),VLOOKUP(AA9,'MIS FINANZAS'!$AS$7:$AT$103,2,0)),"")</f>
        <v>Proyectos asesorias</v>
      </c>
    </row>
    <row r="10">
      <c r="A10" s="1"/>
      <c r="B10" s="14" t="str">
        <f t="shared" si="1"/>
        <v>Dividendos inversiones</v>
      </c>
      <c r="C10" s="119" t="str">
        <f>IF(B10="","",IF((IFERROR(MATCH(B10,'MIS FINANZAS'!$B$7:$B$103,0),0))&gt;0,"Ingreso","Gasto"))</f>
        <v>Ingreso</v>
      </c>
      <c r="D10" s="119" t="str">
        <f>IFERROR(IF(C10="Ingreso",VLOOKUP(B10,'MIS FINANZAS'!$B$7:$F$103,2,0),VLOOKUP(B10,'MIS FINANZAS'!$H$7:$L$103,2,0)),"")</f>
        <v>Variable</v>
      </c>
      <c r="E10" s="119" t="str">
        <f>IFERROR(IFERROR(VLOOKUP(B10,'MIS FINANZAS'!$B$7:$F$103,4,0),VLOOKUP(B10,'MIS FINANZAS'!$H$7:$L$103,4,0)),"")</f>
        <v>Inversión</v>
      </c>
      <c r="F10" s="119" t="str">
        <f>IFERROR(IF(C10="Ingreso",VLOOKUP(B10,'MIS FINANZAS'!$B$7:$F$103,3,0),VLOOKUP(B10,'MIS FINANZAS'!$H$7:$L$103,3,0)),"")</f>
        <v>Anual</v>
      </c>
      <c r="G10" s="196">
        <f>IF(D10="No tan necesario",VLOOKUP(B10,'OPORTUNIDADES DE MEJORA'!$AL$7:$AQ$103,6,0),IF(D10="No necesario",VLOOKUP(B10,'OPORTUNIDADES DE MEJORA'!$AL$7:$AQ$103,6,0),IF(D10="Necesario",VLOOKUP(B10,'MIS FINANZAS'!$H$7:$L$103,5,0),IF(C10="Ingreso",VLOOKUP(B10,'MIS FINANZAS'!$B$7:$F$103,5,0),""))))</f>
        <v>2000000</v>
      </c>
      <c r="H10" s="17">
        <f t="shared" si="2"/>
        <v>166666.6667</v>
      </c>
      <c r="I10" s="196">
        <f t="shared" si="3"/>
        <v>2000000</v>
      </c>
      <c r="J10" s="3"/>
      <c r="K10" s="197" t="s">
        <v>18</v>
      </c>
      <c r="L10" s="17">
        <f t="shared" si="4"/>
        <v>1866666.667</v>
      </c>
      <c r="M10" s="196">
        <f t="shared" si="5"/>
        <v>22400000</v>
      </c>
      <c r="N10" s="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>
        <v>4.0</v>
      </c>
      <c r="AB10" s="1" t="str">
        <f>IFERROR(IFERROR(VLOOKUP(AA10,'MIS FINANZAS'!$AQ$7:$AR$103,2,0),VLOOKUP(AA10,'MIS FINANZAS'!$AS$7:$AT$103,2,0)),"")</f>
        <v>Dividendos inversiones</v>
      </c>
    </row>
    <row r="11">
      <c r="A11" s="1"/>
      <c r="B11" s="14" t="str">
        <f t="shared" si="1"/>
        <v>Bonos adicionales</v>
      </c>
      <c r="C11" s="119" t="str">
        <f>IF(B11="","",IF((IFERROR(MATCH(B11,'MIS FINANZAS'!$B$7:$B$103,0),0))&gt;0,"Ingreso","Gasto"))</f>
        <v>Ingreso</v>
      </c>
      <c r="D11" s="119" t="str">
        <f>IFERROR(IF(C11="Ingreso",VLOOKUP(B11,'MIS FINANZAS'!$B$7:$F$103,2,0),VLOOKUP(B11,'MIS FINANZAS'!$H$7:$L$103,2,0)),"")</f>
        <v>Variable</v>
      </c>
      <c r="E11" s="119" t="str">
        <f>IFERROR(IFERROR(VLOOKUP(B11,'MIS FINANZAS'!$B$7:$F$103,4,0),VLOOKUP(B11,'MIS FINANZAS'!$H$7:$L$103,4,0)),"")</f>
        <v>Otros ingresos</v>
      </c>
      <c r="F11" s="119" t="str">
        <f>IFERROR(IF(C11="Ingreso",VLOOKUP(B11,'MIS FINANZAS'!$B$7:$F$103,3,0),VLOOKUP(B11,'MIS FINANZAS'!$H$7:$L$103,3,0)),"")</f>
        <v>Trimestral</v>
      </c>
      <c r="G11" s="196">
        <f>IF(D11="No tan necesario",VLOOKUP(B11,'OPORTUNIDADES DE MEJORA'!$AL$7:$AQ$103,6,0),IF(D11="No necesario",VLOOKUP(B11,'OPORTUNIDADES DE MEJORA'!$AL$7:$AQ$103,6,0),IF(D11="Necesario",VLOOKUP(B11,'MIS FINANZAS'!$H$7:$L$103,5,0),IF(C11="Ingreso",VLOOKUP(B11,'MIS FINANZAS'!$B$7:$F$103,5,0),""))))</f>
        <v>2500000</v>
      </c>
      <c r="H11" s="17">
        <f t="shared" si="2"/>
        <v>833333.3333</v>
      </c>
      <c r="I11" s="196">
        <f t="shared" si="3"/>
        <v>10000000</v>
      </c>
      <c r="J11" s="3"/>
      <c r="K11" s="197" t="s">
        <v>15</v>
      </c>
      <c r="L11" s="17">
        <f t="shared" si="4"/>
        <v>2085000</v>
      </c>
      <c r="M11" s="196">
        <f t="shared" si="5"/>
        <v>25020000</v>
      </c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>
        <v>5.0</v>
      </c>
      <c r="AB11" s="1" t="str">
        <f>IFERROR(IFERROR(VLOOKUP(AA11,'MIS FINANZAS'!$AQ$7:$AR$103,2,0),VLOOKUP(AA11,'MIS FINANZAS'!$AS$7:$AT$103,2,0)),"")</f>
        <v>Bonos adicionales</v>
      </c>
    </row>
    <row r="12">
      <c r="A12" s="1"/>
      <c r="B12" s="14" t="str">
        <f t="shared" si="1"/>
        <v>Otro</v>
      </c>
      <c r="C12" s="119" t="str">
        <f>IF(B12="","",IF((IFERROR(MATCH(B12,'MIS FINANZAS'!$B$7:$B$103,0),0))&gt;0,"Ingreso","Gasto"))</f>
        <v>Ingreso</v>
      </c>
      <c r="D12" s="119" t="str">
        <f>IFERROR(IF(C12="Ingreso",VLOOKUP(B12,'MIS FINANZAS'!$B$7:$F$103,2,0),VLOOKUP(B12,'MIS FINANZAS'!$H$7:$L$103,2,0)),"")</f>
        <v>Variable</v>
      </c>
      <c r="E12" s="119" t="str">
        <f>IFERROR(IFERROR(VLOOKUP(B12,'MIS FINANZAS'!$B$7:$F$103,4,0),VLOOKUP(B12,'MIS FINANZAS'!$H$7:$L$103,4,0)),"")</f>
        <v>Otros ingresos</v>
      </c>
      <c r="F12" s="119" t="str">
        <f>IFERROR(IF(C12="Ingreso",VLOOKUP(B12,'MIS FINANZAS'!$B$7:$F$103,3,0),VLOOKUP(B12,'MIS FINANZAS'!$H$7:$L$103,3,0)),"")</f>
        <v>Mensual</v>
      </c>
      <c r="G12" s="196">
        <f>IF(D12="No tan necesario",VLOOKUP(B12,'OPORTUNIDADES DE MEJORA'!$AL$7:$AQ$103,6,0),IF(D12="No necesario",VLOOKUP(B12,'OPORTUNIDADES DE MEJORA'!$AL$7:$AQ$103,6,0),IF(D12="Necesario",VLOOKUP(B12,'MIS FINANZAS'!$H$7:$L$103,5,0),IF(C12="Ingreso",VLOOKUP(B12,'MIS FINANZAS'!$B$7:$F$103,5,0),""))))</f>
        <v>700000</v>
      </c>
      <c r="H12" s="17">
        <f t="shared" si="2"/>
        <v>700000</v>
      </c>
      <c r="I12" s="196">
        <f t="shared" si="3"/>
        <v>8400000</v>
      </c>
      <c r="J12" s="3"/>
      <c r="K12" s="197" t="s">
        <v>25</v>
      </c>
      <c r="L12" s="17">
        <f t="shared" si="4"/>
        <v>600000</v>
      </c>
      <c r="M12" s="196">
        <f t="shared" si="5"/>
        <v>7200000</v>
      </c>
      <c r="N12" s="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>
        <v>6.0</v>
      </c>
      <c r="AB12" s="1" t="str">
        <f>IFERROR(IFERROR(VLOOKUP(AA12,'MIS FINANZAS'!$AQ$7:$AR$103,2,0),VLOOKUP(AA12,'MIS FINANZAS'!$AS$7:$AT$103,2,0)),"")</f>
        <v>Otro</v>
      </c>
    </row>
    <row r="13">
      <c r="A13" s="1"/>
      <c r="B13" s="14" t="str">
        <f t="shared" si="1"/>
        <v>Arriendo</v>
      </c>
      <c r="C13" s="119" t="str">
        <f>IF(B13="","",IF((IFERROR(MATCH(B13,'MIS FINANZAS'!$B$7:$B$103,0),0))&gt;0,"Ingreso","Gasto"))</f>
        <v>Gasto</v>
      </c>
      <c r="D13" s="119" t="str">
        <f>IFERROR(IF(C13="Ingreso",VLOOKUP(B13,'MIS FINANZAS'!$B$7:$F$103,2,0),VLOOKUP(B13,'MIS FINANZAS'!$H$7:$L$103,2,0)),"")</f>
        <v>Necesario</v>
      </c>
      <c r="E13" s="119" t="str">
        <f>IFERROR(IFERROR(VLOOKUP(B13,'MIS FINANZAS'!$B$7:$F$103,4,0),VLOOKUP(B13,'MIS FINANZAS'!$H$7:$L$103,4,0)),"")</f>
        <v>Hogar</v>
      </c>
      <c r="F13" s="119" t="str">
        <f>IFERROR(IF(C13="Ingreso",VLOOKUP(B13,'MIS FINANZAS'!$B$7:$F$103,3,0),VLOOKUP(B13,'MIS FINANZAS'!$H$7:$L$103,3,0)),"")</f>
        <v>Mensual</v>
      </c>
      <c r="G13" s="196">
        <f>IF(D13="No tan necesario",VLOOKUP(B13,'OPORTUNIDADES DE MEJORA'!$AL$7:$AQ$103,6,0),IF(D13="No necesario",VLOOKUP(B13,'OPORTUNIDADES DE MEJORA'!$AL$7:$AQ$103,6,0),IF(D13="Necesario",VLOOKUP(B13,'MIS FINANZAS'!$H$7:$L$103,5,0),IF(C13="Ingreso",VLOOKUP(B13,'MIS FINANZAS'!$B$7:$F$103,5,0),""))))</f>
        <v>1700000</v>
      </c>
      <c r="H13" s="17">
        <f t="shared" si="2"/>
        <v>1700000</v>
      </c>
      <c r="I13" s="196">
        <f t="shared" si="3"/>
        <v>20400000</v>
      </c>
      <c r="J13" s="3"/>
      <c r="K13" s="199" t="s">
        <v>41</v>
      </c>
      <c r="L13" s="17">
        <f t="shared" si="4"/>
        <v>431666.6667</v>
      </c>
      <c r="M13" s="196">
        <f t="shared" si="5"/>
        <v>5180000</v>
      </c>
      <c r="N13" s="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>
        <v>7.0</v>
      </c>
      <c r="AB13" s="1" t="str">
        <f>IFERROR(IFERROR(VLOOKUP(AA13,'MIS FINANZAS'!$AQ$7:$AR$103,2,0),VLOOKUP(AA13,'MIS FINANZAS'!$AS$7:$AT$103,2,0)),"")</f>
        <v>Arriendo</v>
      </c>
    </row>
    <row r="14">
      <c r="A14" s="1"/>
      <c r="B14" s="14" t="str">
        <f t="shared" si="1"/>
        <v>Administración</v>
      </c>
      <c r="C14" s="119" t="str">
        <f>IF(B14="","",IF((IFERROR(MATCH(B14,'MIS FINANZAS'!$B$7:$B$103,0),0))&gt;0,"Ingreso","Gasto"))</f>
        <v>Gasto</v>
      </c>
      <c r="D14" s="119" t="str">
        <f>IFERROR(IF(C14="Ingreso",VLOOKUP(B14,'MIS FINANZAS'!$B$7:$F$103,2,0),VLOOKUP(B14,'MIS FINANZAS'!$H$7:$L$103,2,0)),"")</f>
        <v>Necesario</v>
      </c>
      <c r="E14" s="119" t="str">
        <f>IFERROR(IFERROR(VLOOKUP(B14,'MIS FINANZAS'!$B$7:$F$103,4,0),VLOOKUP(B14,'MIS FINANZAS'!$H$7:$L$103,4,0)),"")</f>
        <v>Hogar</v>
      </c>
      <c r="F14" s="119" t="str">
        <f>IFERROR(IF(C14="Ingreso",VLOOKUP(B14,'MIS FINANZAS'!$B$7:$F$103,3,0),VLOOKUP(B14,'MIS FINANZAS'!$H$7:$L$103,3,0)),"")</f>
        <v>Mensual</v>
      </c>
      <c r="G14" s="196">
        <f>IF(D14="No tan necesario",VLOOKUP(B14,'OPORTUNIDADES DE MEJORA'!$AL$7:$AQ$103,6,0),IF(D14="No necesario",VLOOKUP(B14,'OPORTUNIDADES DE MEJORA'!$AL$7:$AQ$103,6,0),IF(D14="Necesario",VLOOKUP(B14,'MIS FINANZAS'!$H$7:$L$103,5,0),IF(C14="Ingreso",VLOOKUP(B14,'MIS FINANZAS'!$B$7:$F$103,5,0),""))))</f>
        <v>150000</v>
      </c>
      <c r="H14" s="17">
        <f t="shared" si="2"/>
        <v>150000</v>
      </c>
      <c r="I14" s="196">
        <f t="shared" si="3"/>
        <v>1800000</v>
      </c>
      <c r="J14" s="3"/>
      <c r="K14" s="200" t="s">
        <v>36</v>
      </c>
      <c r="L14" s="17">
        <f t="shared" si="4"/>
        <v>200000</v>
      </c>
      <c r="M14" s="196">
        <f t="shared" si="5"/>
        <v>2400000</v>
      </c>
      <c r="N14" s="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>
        <v>8.0</v>
      </c>
      <c r="AB14" s="1" t="str">
        <f>IFERROR(IFERROR(VLOOKUP(AA14,'MIS FINANZAS'!$AQ$7:$AR$103,2,0),VLOOKUP(AA14,'MIS FINANZAS'!$AS$7:$AT$103,2,0)),"")</f>
        <v>Administración</v>
      </c>
    </row>
    <row r="15">
      <c r="A15" s="1"/>
      <c r="B15" s="14" t="str">
        <f t="shared" si="1"/>
        <v>Mercado</v>
      </c>
      <c r="C15" s="119" t="str">
        <f>IF(B15="","",IF((IFERROR(MATCH(B15,'MIS FINANZAS'!$B$7:$B$103,0),0))&gt;0,"Ingreso","Gasto"))</f>
        <v>Gasto</v>
      </c>
      <c r="D15" s="119" t="str">
        <f>IFERROR(IF(C15="Ingreso",VLOOKUP(B15,'MIS FINANZAS'!$B$7:$F$103,2,0),VLOOKUP(B15,'MIS FINANZAS'!$H$7:$L$103,2,0)),"")</f>
        <v>Necesario</v>
      </c>
      <c r="E15" s="119" t="str">
        <f>IFERROR(IFERROR(VLOOKUP(B15,'MIS FINANZAS'!$B$7:$F$103,4,0),VLOOKUP(B15,'MIS FINANZAS'!$H$7:$L$103,4,0)),"")</f>
        <v>Alimentación</v>
      </c>
      <c r="F15" s="119" t="str">
        <f>IFERROR(IF(C15="Ingreso",VLOOKUP(B15,'MIS FINANZAS'!$B$7:$F$103,3,0),VLOOKUP(B15,'MIS FINANZAS'!$H$7:$L$103,3,0)),"")</f>
        <v>Mensual</v>
      </c>
      <c r="G15" s="196">
        <f>IF(D15="No tan necesario",VLOOKUP(B15,'OPORTUNIDADES DE MEJORA'!$AL$7:$AQ$103,6,0),IF(D15="No necesario",VLOOKUP(B15,'OPORTUNIDADES DE MEJORA'!$AL$7:$AQ$103,6,0),IF(D15="Necesario",VLOOKUP(B15,'MIS FINANZAS'!$H$7:$L$103,5,0),IF(C15="Ingreso",VLOOKUP(B15,'MIS FINANZAS'!$B$7:$F$103,5,0),""))))</f>
        <v>500000</v>
      </c>
      <c r="H15" s="17">
        <f t="shared" si="2"/>
        <v>500000</v>
      </c>
      <c r="I15" s="196">
        <f t="shared" si="3"/>
        <v>6000000</v>
      </c>
      <c r="J15" s="3"/>
      <c r="K15" s="200" t="s">
        <v>51</v>
      </c>
      <c r="L15" s="17">
        <f t="shared" si="4"/>
        <v>1200000</v>
      </c>
      <c r="M15" s="196">
        <f t="shared" si="5"/>
        <v>14400000</v>
      </c>
      <c r="N15" s="19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>
        <v>9.0</v>
      </c>
      <c r="AB15" s="1" t="str">
        <f>IFERROR(IFERROR(VLOOKUP(AA15,'MIS FINANZAS'!$AQ$7:$AR$103,2,0),VLOOKUP(AA15,'MIS FINANZAS'!$AS$7:$AT$103,2,0)),"")</f>
        <v>Mercado</v>
      </c>
    </row>
    <row r="16">
      <c r="A16" s="1"/>
      <c r="B16" s="14" t="str">
        <f t="shared" si="1"/>
        <v>Agua</v>
      </c>
      <c r="C16" s="119" t="str">
        <f>IF(B16="","",IF((IFERROR(MATCH(B16,'MIS FINANZAS'!$B$7:$B$103,0),0))&gt;0,"Ingreso","Gasto"))</f>
        <v>Gasto</v>
      </c>
      <c r="D16" s="119" t="str">
        <f>IFERROR(IF(C16="Ingreso",VLOOKUP(B16,'MIS FINANZAS'!$B$7:$F$103,2,0),VLOOKUP(B16,'MIS FINANZAS'!$H$7:$L$103,2,0)),"")</f>
        <v>Necesario</v>
      </c>
      <c r="E16" s="119" t="str">
        <f>IFERROR(IFERROR(VLOOKUP(B16,'MIS FINANZAS'!$B$7:$F$103,4,0),VLOOKUP(B16,'MIS FINANZAS'!$H$7:$L$103,4,0)),"")</f>
        <v>Hogar</v>
      </c>
      <c r="F16" s="119" t="str">
        <f>IFERROR(IF(C16="Ingreso",VLOOKUP(B16,'MIS FINANZAS'!$B$7:$F$103,3,0),VLOOKUP(B16,'MIS FINANZAS'!$H$7:$L$103,3,0)),"")</f>
        <v>Bimensual</v>
      </c>
      <c r="G16" s="196">
        <f>IF(D16="No tan necesario",VLOOKUP(B16,'OPORTUNIDADES DE MEJORA'!$AL$7:$AQ$103,6,0),IF(D16="No necesario",VLOOKUP(B16,'OPORTUNIDADES DE MEJORA'!$AL$7:$AQ$103,6,0),IF(D16="Necesario",VLOOKUP(B16,'MIS FINANZAS'!$H$7:$L$103,5,0),IF(C16="Ingreso",VLOOKUP(B16,'MIS FINANZAS'!$B$7:$F$103,5,0),""))))</f>
        <v>150000</v>
      </c>
      <c r="H16" s="17">
        <f t="shared" si="2"/>
        <v>75000</v>
      </c>
      <c r="I16" s="196">
        <f t="shared" si="3"/>
        <v>900000</v>
      </c>
      <c r="J16" s="3"/>
      <c r="K16" s="199" t="s">
        <v>67</v>
      </c>
      <c r="L16" s="17">
        <f t="shared" si="4"/>
        <v>0</v>
      </c>
      <c r="M16" s="196">
        <f t="shared" si="5"/>
        <v>0</v>
      </c>
      <c r="N16" s="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>
        <v>10.0</v>
      </c>
      <c r="AB16" s="1" t="str">
        <f>IFERROR(IFERROR(VLOOKUP(AA16,'MIS FINANZAS'!$AQ$7:$AR$103,2,0),VLOOKUP(AA16,'MIS FINANZAS'!$AS$7:$AT$103,2,0)),"")</f>
        <v>Agua</v>
      </c>
    </row>
    <row r="17">
      <c r="A17" s="1"/>
      <c r="B17" s="14" t="str">
        <f t="shared" si="1"/>
        <v>Luz</v>
      </c>
      <c r="C17" s="119" t="str">
        <f>IF(B17="","",IF((IFERROR(MATCH(B17,'MIS FINANZAS'!$B$7:$B$103,0),0))&gt;0,"Ingreso","Gasto"))</f>
        <v>Gasto</v>
      </c>
      <c r="D17" s="119" t="str">
        <f>IFERROR(IF(C17="Ingreso",VLOOKUP(B17,'MIS FINANZAS'!$B$7:$F$103,2,0),VLOOKUP(B17,'MIS FINANZAS'!$H$7:$L$103,2,0)),"")</f>
        <v>Necesario</v>
      </c>
      <c r="E17" s="119" t="str">
        <f>IFERROR(IFERROR(VLOOKUP(B17,'MIS FINANZAS'!$B$7:$F$103,4,0),VLOOKUP(B17,'MIS FINANZAS'!$H$7:$L$103,4,0)),"")</f>
        <v>Hogar</v>
      </c>
      <c r="F17" s="119" t="str">
        <f>IFERROR(IF(C17="Ingreso",VLOOKUP(B17,'MIS FINANZAS'!$B$7:$F$103,3,0),VLOOKUP(B17,'MIS FINANZAS'!$H$7:$L$103,3,0)),"")</f>
        <v>Mensual</v>
      </c>
      <c r="G17" s="196">
        <f>IF(D17="No tan necesario",VLOOKUP(B17,'OPORTUNIDADES DE MEJORA'!$AL$7:$AQ$103,6,0),IF(D17="No necesario",VLOOKUP(B17,'OPORTUNIDADES DE MEJORA'!$AL$7:$AQ$103,6,0),IF(D17="Necesario",VLOOKUP(B17,'MIS FINANZAS'!$H$7:$L$103,5,0),IF(C17="Ingreso",VLOOKUP(B17,'MIS FINANZAS'!$B$7:$F$103,5,0),""))))</f>
        <v>120000</v>
      </c>
      <c r="H17" s="17">
        <f t="shared" si="2"/>
        <v>120000</v>
      </c>
      <c r="I17" s="196">
        <f t="shared" si="3"/>
        <v>1440000</v>
      </c>
      <c r="J17" s="3"/>
      <c r="K17" s="197" t="s">
        <v>53</v>
      </c>
      <c r="L17" s="17">
        <f t="shared" si="4"/>
        <v>650000</v>
      </c>
      <c r="M17" s="196">
        <f t="shared" si="5"/>
        <v>7800000</v>
      </c>
      <c r="N17" s="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>
        <v>11.0</v>
      </c>
      <c r="AB17" s="1" t="str">
        <f>IFERROR(IFERROR(VLOOKUP(AA17,'MIS FINANZAS'!$AQ$7:$AR$103,2,0),VLOOKUP(AA17,'MIS FINANZAS'!$AS$7:$AT$103,2,0)),"")</f>
        <v>Luz</v>
      </c>
    </row>
    <row r="18">
      <c r="A18" s="1"/>
      <c r="B18" s="14" t="str">
        <f t="shared" si="1"/>
        <v>Gas</v>
      </c>
      <c r="C18" s="119" t="str">
        <f>IF(B18="","",IF((IFERROR(MATCH(B18,'MIS FINANZAS'!$B$7:$B$103,0),0))&gt;0,"Ingreso","Gasto"))</f>
        <v>Gasto</v>
      </c>
      <c r="D18" s="119" t="str">
        <f>IFERROR(IF(C18="Ingreso",VLOOKUP(B18,'MIS FINANZAS'!$B$7:$F$103,2,0),VLOOKUP(B18,'MIS FINANZAS'!$H$7:$L$103,2,0)),"")</f>
        <v>Necesario</v>
      </c>
      <c r="E18" s="119" t="str">
        <f>IFERROR(IFERROR(VLOOKUP(B18,'MIS FINANZAS'!$B$7:$F$103,4,0),VLOOKUP(B18,'MIS FINANZAS'!$H$7:$L$103,4,0)),"")</f>
        <v>Hogar</v>
      </c>
      <c r="F18" s="119" t="str">
        <f>IFERROR(IF(C18="Ingreso",VLOOKUP(B18,'MIS FINANZAS'!$B$7:$F$103,3,0),VLOOKUP(B18,'MIS FINANZAS'!$H$7:$L$103,3,0)),"")</f>
        <v>Mensual</v>
      </c>
      <c r="G18" s="196">
        <f>IF(D18="No tan necesario",VLOOKUP(B18,'OPORTUNIDADES DE MEJORA'!$AL$7:$AQ$103,6,0),IF(D18="No necesario",VLOOKUP(B18,'OPORTUNIDADES DE MEJORA'!$AL$7:$AQ$103,6,0),IF(D18="Necesario",VLOOKUP(B18,'MIS FINANZAS'!$H$7:$L$103,5,0),IF(C18="Ingreso",VLOOKUP(B18,'MIS FINANZAS'!$B$7:$F$103,5,0),""))))</f>
        <v>40000</v>
      </c>
      <c r="H18" s="17">
        <f t="shared" si="2"/>
        <v>40000</v>
      </c>
      <c r="I18" s="196">
        <f t="shared" si="3"/>
        <v>480000</v>
      </c>
      <c r="J18" s="3"/>
      <c r="K18" s="197" t="s">
        <v>47</v>
      </c>
      <c r="L18" s="17">
        <f t="shared" si="4"/>
        <v>640000</v>
      </c>
      <c r="M18" s="196">
        <f t="shared" si="5"/>
        <v>7680000</v>
      </c>
      <c r="N18" s="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>
        <v>12.0</v>
      </c>
      <c r="AB18" s="1" t="str">
        <f>IFERROR(IFERROR(VLOOKUP(AA18,'MIS FINANZAS'!$AQ$7:$AR$103,2,0),VLOOKUP(AA18,'MIS FINANZAS'!$AS$7:$AT$103,2,0)),"")</f>
        <v>Gas</v>
      </c>
    </row>
    <row r="19">
      <c r="A19" s="1"/>
      <c r="B19" s="14" t="str">
        <f t="shared" si="1"/>
        <v>Provisiones pagos</v>
      </c>
      <c r="C19" s="119" t="str">
        <f>IF(B19="","",IF((IFERROR(MATCH(B19,'MIS FINANZAS'!$B$7:$B$103,0),0))&gt;0,"Ingreso","Gasto"))</f>
        <v>Gasto</v>
      </c>
      <c r="D19" s="119" t="str">
        <f>IFERROR(IF(C19="Ingreso",VLOOKUP(B19,'MIS FINANZAS'!$B$7:$F$103,2,0),VLOOKUP(B19,'MIS FINANZAS'!$H$7:$L$103,2,0)),"")</f>
        <v>Necesario</v>
      </c>
      <c r="E19" s="119" t="str">
        <f>IFERROR(IFERROR(VLOOKUP(B19,'MIS FINANZAS'!$B$7:$F$103,4,0),VLOOKUP(B19,'MIS FINANZAS'!$H$7:$L$103,4,0)),"")</f>
        <v>Provisiones</v>
      </c>
      <c r="F19" s="119" t="str">
        <f>IFERROR(IF(C19="Ingreso",VLOOKUP(B19,'MIS FINANZAS'!$B$7:$F$103,3,0),VLOOKUP(B19,'MIS FINANZAS'!$H$7:$L$103,3,0)),"")</f>
        <v>Mensual</v>
      </c>
      <c r="G19" s="196">
        <f>IF(D19="No tan necesario",VLOOKUP(B19,'OPORTUNIDADES DE MEJORA'!$AL$7:$AQ$103,6,0),IF(D19="No necesario",VLOOKUP(B19,'OPORTUNIDADES DE MEJORA'!$AL$7:$AQ$103,6,0),IF(D19="Necesario",VLOOKUP(B19,'MIS FINANZAS'!$H$7:$L$103,5,0),IF(C19="Ingreso",VLOOKUP(B19,'MIS FINANZAS'!$B$7:$F$103,5,0),""))))</f>
        <v>200000</v>
      </c>
      <c r="H19" s="17">
        <f t="shared" si="2"/>
        <v>200000</v>
      </c>
      <c r="I19" s="196">
        <f t="shared" si="3"/>
        <v>2400000</v>
      </c>
      <c r="J19" s="3"/>
      <c r="K19" s="199" t="s">
        <v>58</v>
      </c>
      <c r="L19" s="17">
        <f t="shared" si="4"/>
        <v>108333.3333</v>
      </c>
      <c r="M19" s="196">
        <f t="shared" si="5"/>
        <v>1300000</v>
      </c>
      <c r="N19" s="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>
        <v>13.0</v>
      </c>
      <c r="AB19" s="1" t="str">
        <f>IFERROR(IFERROR(VLOOKUP(AA19,'MIS FINANZAS'!$AQ$7:$AR$103,2,0),VLOOKUP(AA19,'MIS FINANZAS'!$AS$7:$AT$103,2,0)),"")</f>
        <v>Provisiones pagos</v>
      </c>
    </row>
    <row r="20">
      <c r="A20" s="1"/>
      <c r="B20" s="14" t="str">
        <f t="shared" si="1"/>
        <v>Plan de datos</v>
      </c>
      <c r="C20" s="119" t="str">
        <f>IF(B20="","",IF((IFERROR(MATCH(B20,'MIS FINANZAS'!$B$7:$B$103,0),0))&gt;0,"Ingreso","Gasto"))</f>
        <v>Gasto</v>
      </c>
      <c r="D20" s="119" t="str">
        <f>IFERROR(IF(C20="Ingreso",VLOOKUP(B20,'MIS FINANZAS'!$B$7:$F$103,2,0),VLOOKUP(B20,'MIS FINANZAS'!$H$7:$L$103,2,0)),"")</f>
        <v>No tan necesario</v>
      </c>
      <c r="E20" s="119" t="str">
        <f>IFERROR(IFERROR(VLOOKUP(B20,'MIS FINANZAS'!$B$7:$F$103,4,0),VLOOKUP(B20,'MIS FINANZAS'!$H$7:$L$103,4,0)),"")</f>
        <v>Otros gastos</v>
      </c>
      <c r="F20" s="119" t="str">
        <f>IFERROR(IF(C20="Ingreso",VLOOKUP(B20,'MIS FINANZAS'!$B$7:$F$103,3,0),VLOOKUP(B20,'MIS FINANZAS'!$H$7:$L$103,3,0)),"")</f>
        <v>Mensual</v>
      </c>
      <c r="G20" s="196">
        <f>IF(D20="No tan necesario",VLOOKUP(B20,'OPORTUNIDADES DE MEJORA'!$AL$7:$AQ$103,6,0),IF(D20="No necesario",VLOOKUP(B20,'OPORTUNIDADES DE MEJORA'!$AL$7:$AQ$103,6,0),IF(D20="Necesario",VLOOKUP(B20,'MIS FINANZAS'!$H$7:$L$103,5,0),IF(C20="Ingreso",VLOOKUP(B20,'MIS FINANZAS'!$B$7:$F$103,5,0),""))))</f>
        <v>80000</v>
      </c>
      <c r="H20" s="17">
        <f t="shared" si="2"/>
        <v>80000</v>
      </c>
      <c r="I20" s="196">
        <f t="shared" si="3"/>
        <v>960000</v>
      </c>
      <c r="J20" s="3"/>
      <c r="K20" s="201" t="s">
        <v>39</v>
      </c>
      <c r="L20" s="202">
        <f t="shared" si="4"/>
        <v>360000</v>
      </c>
      <c r="M20" s="203">
        <f t="shared" si="5"/>
        <v>4320000</v>
      </c>
      <c r="N20" s="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>
        <v>14.0</v>
      </c>
      <c r="AB20" s="1" t="str">
        <f>IFERROR(IFERROR(VLOOKUP(AA20,'MIS FINANZAS'!$AQ$7:$AR$103,2,0),VLOOKUP(AA20,'MIS FINANZAS'!$AS$7:$AT$103,2,0)),"")</f>
        <v>Plan de datos</v>
      </c>
    </row>
    <row r="21" ht="15.75" customHeight="1">
      <c r="A21" s="1"/>
      <c r="B21" s="14" t="str">
        <f t="shared" si="1"/>
        <v>Gasolina</v>
      </c>
      <c r="C21" s="119" t="str">
        <f>IF(B21="","",IF((IFERROR(MATCH(B21,'MIS FINANZAS'!$B$7:$B$103,0),0))&gt;0,"Ingreso","Gasto"))</f>
        <v>Gasto</v>
      </c>
      <c r="D21" s="119" t="str">
        <f>IFERROR(IF(C21="Ingreso",VLOOKUP(B21,'MIS FINANZAS'!$B$7:$F$103,2,0),VLOOKUP(B21,'MIS FINANZAS'!$H$7:$L$103,2,0)),"")</f>
        <v>Necesario</v>
      </c>
      <c r="E21" s="119" t="str">
        <f>IFERROR(IFERROR(VLOOKUP(B21,'MIS FINANZAS'!$B$7:$F$103,4,0),VLOOKUP(B21,'MIS FINANZAS'!$H$7:$L$103,4,0)),"")</f>
        <v>Transporte</v>
      </c>
      <c r="F21" s="119" t="str">
        <f>IFERROR(IF(C21="Ingreso",VLOOKUP(B21,'MIS FINANZAS'!$B$7:$F$103,3,0),VLOOKUP(B21,'MIS FINANZAS'!$H$7:$L$103,3,0)),"")</f>
        <v>Mensual</v>
      </c>
      <c r="G21" s="196">
        <f>IF(D21="No tan necesario",VLOOKUP(B21,'OPORTUNIDADES DE MEJORA'!$AL$7:$AQ$103,6,0),IF(D21="No necesario",VLOOKUP(B21,'OPORTUNIDADES DE MEJORA'!$AL$7:$AQ$103,6,0),IF(D21="Necesario",VLOOKUP(B21,'MIS FINANZAS'!$H$7:$L$103,5,0),IF(C21="Ingreso",VLOOKUP(B21,'MIS FINANZAS'!$B$7:$F$103,5,0),""))))</f>
        <v>150000</v>
      </c>
      <c r="H21" s="17">
        <f t="shared" si="2"/>
        <v>150000</v>
      </c>
      <c r="I21" s="196">
        <f t="shared" si="3"/>
        <v>1800000</v>
      </c>
      <c r="J21" s="1"/>
      <c r="K21" s="7"/>
      <c r="L21" s="7"/>
      <c r="M21" s="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>
        <v>15.0</v>
      </c>
      <c r="AB21" s="1" t="str">
        <f>IFERROR(IFERROR(VLOOKUP(AA21,'MIS FINANZAS'!$AQ$7:$AR$103,2,0),VLOOKUP(AA21,'MIS FINANZAS'!$AS$7:$AT$103,2,0)),"")</f>
        <v>Gasolina</v>
      </c>
    </row>
    <row r="22" ht="15.75" customHeight="1">
      <c r="A22" s="1"/>
      <c r="B22" s="14" t="str">
        <f t="shared" si="1"/>
        <v>Mantenimiento carro</v>
      </c>
      <c r="C22" s="119" t="str">
        <f>IF(B22="","",IF((IFERROR(MATCH(B22,'MIS FINANZAS'!$B$7:$B$103,0),0))&gt;0,"Ingreso","Gasto"))</f>
        <v>Gasto</v>
      </c>
      <c r="D22" s="119" t="str">
        <f>IFERROR(IF(C22="Ingreso",VLOOKUP(B22,'MIS FINANZAS'!$B$7:$F$103,2,0),VLOOKUP(B22,'MIS FINANZAS'!$H$7:$L$103,2,0)),"")</f>
        <v>Necesario</v>
      </c>
      <c r="E22" s="119" t="str">
        <f>IFERROR(IFERROR(VLOOKUP(B22,'MIS FINANZAS'!$B$7:$F$103,4,0),VLOOKUP(B22,'MIS FINANZAS'!$H$7:$L$103,4,0)),"")</f>
        <v>Transporte</v>
      </c>
      <c r="F22" s="119" t="str">
        <f>IFERROR(IF(C22="Ingreso",VLOOKUP(B22,'MIS FINANZAS'!$B$7:$F$103,3,0),VLOOKUP(B22,'MIS FINANZAS'!$H$7:$L$103,3,0)),"")</f>
        <v>Trimestral</v>
      </c>
      <c r="G22" s="196">
        <f>IF(D22="No tan necesario",VLOOKUP(B22,'OPORTUNIDADES DE MEJORA'!$AL$7:$AQ$103,6,0),IF(D22="No necesario",VLOOKUP(B22,'OPORTUNIDADES DE MEJORA'!$AL$7:$AQ$103,6,0),IF(D22="Necesario",VLOOKUP(B22,'MIS FINANZAS'!$H$7:$L$103,5,0),IF(C22="Ingreso",VLOOKUP(B22,'MIS FINANZAS'!$B$7:$F$103,5,0),""))))</f>
        <v>500000</v>
      </c>
      <c r="H22" s="17">
        <f t="shared" si="2"/>
        <v>166666.6667</v>
      </c>
      <c r="I22" s="196">
        <f t="shared" si="3"/>
        <v>2000000</v>
      </c>
      <c r="J22" s="1"/>
      <c r="K22" s="204" t="s">
        <v>66</v>
      </c>
      <c r="L22" s="205">
        <f t="shared" ref="L22:M22" si="6">L8+L7+L9+L10</f>
        <v>7200000</v>
      </c>
      <c r="M22" s="205">
        <f t="shared" si="6"/>
        <v>86400000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>
        <v>16.0</v>
      </c>
      <c r="AB22" s="1" t="str">
        <f>IFERROR(IFERROR(VLOOKUP(AA22,'MIS FINANZAS'!$AQ$7:$AR$103,2,0),VLOOKUP(AA22,'MIS FINANZAS'!$AS$7:$AT$103,2,0)),"")</f>
        <v>Mantenimiento carro</v>
      </c>
    </row>
    <row r="23" ht="15.75" customHeight="1">
      <c r="A23" s="1"/>
      <c r="B23" s="14" t="str">
        <f t="shared" si="1"/>
        <v>Seguro carro</v>
      </c>
      <c r="C23" s="119" t="str">
        <f>IF(B23="","",IF((IFERROR(MATCH(B23,'MIS FINANZAS'!$B$7:$B$103,0),0))&gt;0,"Ingreso","Gasto"))</f>
        <v>Gasto</v>
      </c>
      <c r="D23" s="119" t="str">
        <f>IFERROR(IF(C23="Ingreso",VLOOKUP(B23,'MIS FINANZAS'!$B$7:$F$103,2,0),VLOOKUP(B23,'MIS FINANZAS'!$H$7:$L$103,2,0)),"")</f>
        <v>No tan necesario</v>
      </c>
      <c r="E23" s="119" t="str">
        <f>IFERROR(IFERROR(VLOOKUP(B23,'MIS FINANZAS'!$B$7:$F$103,4,0),VLOOKUP(B23,'MIS FINANZAS'!$H$7:$L$103,4,0)),"")</f>
        <v>Transporte</v>
      </c>
      <c r="F23" s="119" t="str">
        <f>IFERROR(IF(C23="Ingreso",VLOOKUP(B23,'MIS FINANZAS'!$B$7:$F$103,3,0),VLOOKUP(B23,'MIS FINANZAS'!$H$7:$L$103,3,0)),"")</f>
        <v>Anual</v>
      </c>
      <c r="G23" s="196">
        <f>IF(D23="No tan necesario",VLOOKUP(B23,'OPORTUNIDADES DE MEJORA'!$AL$7:$AQ$103,6,0),IF(D23="No necesario",VLOOKUP(B23,'OPORTUNIDADES DE MEJORA'!$AL$7:$AQ$103,6,0),IF(D23="Necesario",VLOOKUP(B23,'MIS FINANZAS'!$H$7:$L$103,5,0),IF(C23="Ingreso",VLOOKUP(B23,'MIS FINANZAS'!$B$7:$F$103,5,0),""))))</f>
        <v>600000</v>
      </c>
      <c r="H23" s="17">
        <f t="shared" si="2"/>
        <v>50000</v>
      </c>
      <c r="I23" s="196">
        <f t="shared" si="3"/>
        <v>600000</v>
      </c>
      <c r="J23" s="1"/>
      <c r="K23" s="204" t="s">
        <v>68</v>
      </c>
      <c r="L23" s="205">
        <f t="shared" ref="L23:M23" si="7">SUM(L11:L20)</f>
        <v>6275000</v>
      </c>
      <c r="M23" s="205">
        <f t="shared" si="7"/>
        <v>75300000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>
        <v>17.0</v>
      </c>
      <c r="AB23" s="1" t="str">
        <f>IFERROR(IFERROR(VLOOKUP(AA23,'MIS FINANZAS'!$AQ$7:$AR$103,2,0),VLOOKUP(AA23,'MIS FINANZAS'!$AS$7:$AT$103,2,0)),"")</f>
        <v>Seguro carro</v>
      </c>
    </row>
    <row r="24" ht="15.75" customHeight="1">
      <c r="A24" s="1"/>
      <c r="B24" s="14" t="str">
        <f t="shared" si="1"/>
        <v>Gimnasio</v>
      </c>
      <c r="C24" s="119" t="str">
        <f>IF(B24="","",IF((IFERROR(MATCH(B24,'MIS FINANZAS'!$B$7:$B$103,0),0))&gt;0,"Ingreso","Gasto"))</f>
        <v>Gasto</v>
      </c>
      <c r="D24" s="119" t="str">
        <f>IFERROR(IF(C24="Ingreso",VLOOKUP(B24,'MIS FINANZAS'!$B$7:$F$103,2,0),VLOOKUP(B24,'MIS FINANZAS'!$H$7:$L$103,2,0)),"")</f>
        <v>No tan necesario</v>
      </c>
      <c r="E24" s="119" t="str">
        <f>IFERROR(IFERROR(VLOOKUP(B24,'MIS FINANZAS'!$B$7:$F$103,4,0),VLOOKUP(B24,'MIS FINANZAS'!$H$7:$L$103,4,0)),"")</f>
        <v>Otros gastos</v>
      </c>
      <c r="F24" s="119" t="str">
        <f>IFERROR(IF(C24="Ingreso",VLOOKUP(B24,'MIS FINANZAS'!$B$7:$F$103,3,0),VLOOKUP(B24,'MIS FINANZAS'!$H$7:$L$103,3,0)),"")</f>
        <v>Anual</v>
      </c>
      <c r="G24" s="196">
        <f>IF(D24="No tan necesario",VLOOKUP(B24,'OPORTUNIDADES DE MEJORA'!$AL$7:$AQ$103,6,0),IF(D24="No necesario",VLOOKUP(B24,'OPORTUNIDADES DE MEJORA'!$AL$7:$AQ$103,6,0),IF(D24="Necesario",VLOOKUP(B24,'MIS FINANZAS'!$H$7:$L$103,5,0),IF(C24="Ingreso",VLOOKUP(B24,'MIS FINANZAS'!$B$7:$F$103,5,0),""))))</f>
        <v>360000</v>
      </c>
      <c r="H24" s="17">
        <f t="shared" si="2"/>
        <v>30000</v>
      </c>
      <c r="I24" s="196">
        <f t="shared" si="3"/>
        <v>360000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>
        <v>18.0</v>
      </c>
      <c r="AB24" s="1" t="str">
        <f>IFERROR(IFERROR(VLOOKUP(AA24,'MIS FINANZAS'!$AQ$7:$AR$103,2,0),VLOOKUP(AA24,'MIS FINANZAS'!$AS$7:$AT$103,2,0)),"")</f>
        <v>Gimnasio</v>
      </c>
    </row>
    <row r="25" ht="15.75" customHeight="1">
      <c r="A25" s="1"/>
      <c r="B25" s="14" t="str">
        <f t="shared" si="1"/>
        <v>Internet y telefono</v>
      </c>
      <c r="C25" s="119" t="str">
        <f>IF(B25="","",IF((IFERROR(MATCH(B25,'MIS FINANZAS'!$B$7:$B$103,0),0))&gt;0,"Ingreso","Gasto"))</f>
        <v>Gasto</v>
      </c>
      <c r="D25" s="119" t="str">
        <f>IFERROR(IF(C25="Ingreso",VLOOKUP(B25,'MIS FINANZAS'!$B$7:$F$103,2,0),VLOOKUP(B25,'MIS FINANZAS'!$H$7:$L$103,2,0)),"")</f>
        <v>No necesario</v>
      </c>
      <c r="E25" s="119" t="str">
        <f>IFERROR(IFERROR(VLOOKUP(B25,'MIS FINANZAS'!$B$7:$F$103,4,0),VLOOKUP(B25,'MIS FINANZAS'!$H$7:$L$103,4,0)),"")</f>
        <v>Familia</v>
      </c>
      <c r="F25" s="119" t="str">
        <f>IFERROR(IF(C25="Ingreso",VLOOKUP(B25,'MIS FINANZAS'!$B$7:$F$103,3,0),VLOOKUP(B25,'MIS FINANZAS'!$H$7:$L$103,3,0)),"")</f>
        <v>Mensual</v>
      </c>
      <c r="G25" s="196">
        <f>IF(D25="No tan necesario",VLOOKUP(B25,'OPORTUNIDADES DE MEJORA'!$AL$7:$AQ$103,6,0),IF(D25="No necesario",VLOOKUP(B25,'OPORTUNIDADES DE MEJORA'!$AL$7:$AQ$103,6,0),IF(D25="Necesario",VLOOKUP(B25,'MIS FINANZAS'!$H$7:$L$103,5,0),IF(C25="Ingreso",VLOOKUP(B25,'MIS FINANZAS'!$B$7:$F$103,5,0),""))))</f>
        <v>50000</v>
      </c>
      <c r="H25" s="17">
        <f t="shared" si="2"/>
        <v>50000</v>
      </c>
      <c r="I25" s="196">
        <f t="shared" si="3"/>
        <v>600000</v>
      </c>
      <c r="J25" s="1"/>
      <c r="K25" s="29" t="s">
        <v>116</v>
      </c>
      <c r="L25" s="206">
        <f t="shared" ref="L25:M25" si="8">L22-L23</f>
        <v>925000</v>
      </c>
      <c r="M25" s="207">
        <f t="shared" si="8"/>
        <v>11100000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>
        <v>19.0</v>
      </c>
      <c r="AB25" s="1" t="str">
        <f>IFERROR(IFERROR(VLOOKUP(AA25,'MIS FINANZAS'!$AQ$7:$AR$103,2,0),VLOOKUP(AA25,'MIS FINANZAS'!$AS$7:$AT$103,2,0)),"")</f>
        <v>Internet y telefono</v>
      </c>
    </row>
    <row r="26" ht="15.75" customHeight="1">
      <c r="A26" s="1"/>
      <c r="B26" s="14" t="str">
        <f t="shared" si="1"/>
        <v>Streaming (Netflix, spotify…)</v>
      </c>
      <c r="C26" s="119" t="str">
        <f>IF(B26="","",IF((IFERROR(MATCH(B26,'MIS FINANZAS'!$B$7:$B$103,0),0))&gt;0,"Ingreso","Gasto"))</f>
        <v>Gasto</v>
      </c>
      <c r="D26" s="119" t="str">
        <f>IFERROR(IF(C26="Ingreso",VLOOKUP(B26,'MIS FINANZAS'!$B$7:$F$103,2,0),VLOOKUP(B26,'MIS FINANZAS'!$H$7:$L$103,2,0)),"")</f>
        <v>No tan necesario</v>
      </c>
      <c r="E26" s="119" t="str">
        <f>IFERROR(IFERROR(VLOOKUP(B26,'MIS FINANZAS'!$B$7:$F$103,4,0),VLOOKUP(B26,'MIS FINANZAS'!$H$7:$L$103,4,0)),"")</f>
        <v>Familia</v>
      </c>
      <c r="F26" s="119" t="str">
        <f>IFERROR(IF(C26="Ingreso",VLOOKUP(B26,'MIS FINANZAS'!$B$7:$F$103,3,0),VLOOKUP(B26,'MIS FINANZAS'!$H$7:$L$103,3,0)),"")</f>
        <v>Mensual</v>
      </c>
      <c r="G26" s="196">
        <f>IF(D26="No tan necesario",VLOOKUP(B26,'OPORTUNIDADES DE MEJORA'!$AL$7:$AQ$103,6,0),IF(D26="No necesario",VLOOKUP(B26,'OPORTUNIDADES DE MEJORA'!$AL$7:$AQ$103,6,0),IF(D26="Necesario",VLOOKUP(B26,'MIS FINANZAS'!$H$7:$L$103,5,0),IF(C26="Ingreso",VLOOKUP(B26,'MIS FINANZAS'!$B$7:$F$103,5,0),""))))</f>
        <v>40000</v>
      </c>
      <c r="H26" s="17">
        <f t="shared" si="2"/>
        <v>40000</v>
      </c>
      <c r="I26" s="196">
        <f t="shared" si="3"/>
        <v>480000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>
        <v>20.0</v>
      </c>
      <c r="AB26" s="1" t="str">
        <f>IFERROR(IFERROR(VLOOKUP(AA26,'MIS FINANZAS'!$AQ$7:$AR$103,2,0),VLOOKUP(AA26,'MIS FINANZAS'!$AS$7:$AT$103,2,0)),"")</f>
        <v>Streaming (Netflix, spotify…)</v>
      </c>
    </row>
    <row r="27" ht="15.75" customHeight="1">
      <c r="A27" s="1"/>
      <c r="B27" s="14" t="str">
        <f t="shared" si="1"/>
        <v>Taxi/Uber/Bus</v>
      </c>
      <c r="C27" s="119" t="str">
        <f>IF(B27="","",IF((IFERROR(MATCH(B27,'MIS FINANZAS'!$B$7:$B$103,0),0))&gt;0,"Ingreso","Gasto"))</f>
        <v>Gasto</v>
      </c>
      <c r="D27" s="119" t="str">
        <f>IFERROR(IF(C27="Ingreso",VLOOKUP(B27,'MIS FINANZAS'!$B$7:$F$103,2,0),VLOOKUP(B27,'MIS FINANZAS'!$H$7:$L$103,2,0)),"")</f>
        <v>No tan necesario</v>
      </c>
      <c r="E27" s="119" t="str">
        <f>IFERROR(IFERROR(VLOOKUP(B27,'MIS FINANZAS'!$B$7:$F$103,4,0),VLOOKUP(B27,'MIS FINANZAS'!$H$7:$L$103,4,0)),"")</f>
        <v>Transporte</v>
      </c>
      <c r="F27" s="119" t="str">
        <f>IFERROR(IF(C27="Ingreso",VLOOKUP(B27,'MIS FINANZAS'!$B$7:$F$103,3,0),VLOOKUP(B27,'MIS FINANZAS'!$H$7:$L$103,3,0)),"")</f>
        <v>Mensual</v>
      </c>
      <c r="G27" s="196">
        <f>IF(D27="No tan necesario",VLOOKUP(B27,'OPORTUNIDADES DE MEJORA'!$AL$7:$AQ$103,6,0),IF(D27="No necesario",VLOOKUP(B27,'OPORTUNIDADES DE MEJORA'!$AL$7:$AQ$103,6,0),IF(D27="Necesario",VLOOKUP(B27,'MIS FINANZAS'!$H$7:$L$103,5,0),IF(C27="Ingreso",VLOOKUP(B27,'MIS FINANZAS'!$B$7:$F$103,5,0),""))))</f>
        <v>65000</v>
      </c>
      <c r="H27" s="17">
        <f t="shared" si="2"/>
        <v>65000</v>
      </c>
      <c r="I27" s="196">
        <f t="shared" si="3"/>
        <v>780000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>
        <v>21.0</v>
      </c>
      <c r="AB27" s="1" t="str">
        <f>IFERROR(IFERROR(VLOOKUP(AA27,'MIS FINANZAS'!$AQ$7:$AR$103,2,0),VLOOKUP(AA27,'MIS FINANZAS'!$AS$7:$AT$103,2,0)),"")</f>
        <v>Taxi/Uber/Bus</v>
      </c>
    </row>
    <row r="28" ht="15.75" customHeight="1">
      <c r="A28" s="1"/>
      <c r="B28" s="14" t="str">
        <f t="shared" si="1"/>
        <v>Crédito carro</v>
      </c>
      <c r="C28" s="119" t="str">
        <f>IF(B28="","",IF((IFERROR(MATCH(B28,'MIS FINANZAS'!$B$7:$B$103,0),0))&gt;0,"Ingreso","Gasto"))</f>
        <v>Gasto</v>
      </c>
      <c r="D28" s="119" t="str">
        <f>IFERROR(IF(C28="Ingreso",VLOOKUP(B28,'MIS FINANZAS'!$B$7:$F$103,2,0),VLOOKUP(B28,'MIS FINANZAS'!$H$7:$L$103,2,0)),"")</f>
        <v>Necesario</v>
      </c>
      <c r="E28" s="119" t="str">
        <f>IFERROR(IFERROR(VLOOKUP(B28,'MIS FINANZAS'!$B$7:$F$103,4,0),VLOOKUP(B28,'MIS FINANZAS'!$H$7:$L$103,4,0)),"")</f>
        <v>Deudas entidades</v>
      </c>
      <c r="F28" s="119" t="str">
        <f>IFERROR(IF(C28="Ingreso",VLOOKUP(B28,'MIS FINANZAS'!$B$7:$F$103,3,0),VLOOKUP(B28,'MIS FINANZAS'!$H$7:$L$103,3,0)),"")</f>
        <v>Mensual</v>
      </c>
      <c r="G28" s="196">
        <f>IF(D28="No tan necesario",VLOOKUP(B28,'OPORTUNIDADES DE MEJORA'!$AL$7:$AQ$103,6,0),IF(D28="No necesario",VLOOKUP(B28,'OPORTUNIDADES DE MEJORA'!$AL$7:$AQ$103,6,0),IF(D28="Necesario",VLOOKUP(B28,'MIS FINANZAS'!$H$7:$L$103,5,0),IF(C28="Ingreso",VLOOKUP(B28,'MIS FINANZAS'!$B$7:$F$103,5,0),""))))</f>
        <v>1200000</v>
      </c>
      <c r="H28" s="17">
        <f t="shared" si="2"/>
        <v>1200000</v>
      </c>
      <c r="I28" s="196">
        <f t="shared" si="3"/>
        <v>14400000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>
        <v>22.0</v>
      </c>
      <c r="AB28" s="1" t="str">
        <f>IFERROR(IFERROR(VLOOKUP(AA28,'MIS FINANZAS'!$AQ$7:$AR$103,2,0),VLOOKUP(AA28,'MIS FINANZAS'!$AS$7:$AT$103,2,0)),"")</f>
        <v>Crédito carro</v>
      </c>
    </row>
    <row r="29" ht="15.75" customHeight="1">
      <c r="A29" s="1"/>
      <c r="B29" s="14" t="str">
        <f t="shared" si="1"/>
        <v>Viajes</v>
      </c>
      <c r="C29" s="119" t="str">
        <f>IF(B29="","",IF((IFERROR(MATCH(B29,'MIS FINANZAS'!$B$7:$B$103,0),0))&gt;0,"Ingreso","Gasto"))</f>
        <v>Gasto</v>
      </c>
      <c r="D29" s="119" t="str">
        <f>IFERROR(IF(C29="Ingreso",VLOOKUP(B29,'MIS FINANZAS'!$B$7:$F$103,2,0),VLOOKUP(B29,'MIS FINANZAS'!$H$7:$L$103,2,0)),"")</f>
        <v>No tan necesario</v>
      </c>
      <c r="E29" s="119" t="str">
        <f>IFERROR(IFERROR(VLOOKUP(B29,'MIS FINANZAS'!$B$7:$F$103,4,0),VLOOKUP(B29,'MIS FINANZAS'!$H$7:$L$103,4,0)),"")</f>
        <v>Entretenimiento</v>
      </c>
      <c r="F29" s="119" t="str">
        <f>IFERROR(IF(C29="Ingreso",VLOOKUP(B29,'MIS FINANZAS'!$B$7:$F$103,3,0),VLOOKUP(B29,'MIS FINANZAS'!$H$7:$L$103,3,0)),"")</f>
        <v>Semestral</v>
      </c>
      <c r="G29" s="196">
        <f>IF(D29="No tan necesario",VLOOKUP(B29,'OPORTUNIDADES DE MEJORA'!$AL$7:$AQ$103,6,0),IF(D29="No necesario",VLOOKUP(B29,'OPORTUNIDADES DE MEJORA'!$AL$7:$AQ$103,6,0),IF(D29="Necesario",VLOOKUP(B29,'MIS FINANZAS'!$H$7:$L$103,5,0),IF(C29="Ingreso",VLOOKUP(B29,'MIS FINANZAS'!$B$7:$F$103,5,0),""))))</f>
        <v>1800000</v>
      </c>
      <c r="H29" s="17">
        <f t="shared" si="2"/>
        <v>300000</v>
      </c>
      <c r="I29" s="196">
        <f t="shared" si="3"/>
        <v>3600000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>
        <v>23.0</v>
      </c>
      <c r="AB29" s="1" t="str">
        <f>IFERROR(IFERROR(VLOOKUP(AA29,'MIS FINANZAS'!$AQ$7:$AR$103,2,0),VLOOKUP(AA29,'MIS FINANZAS'!$AS$7:$AT$103,2,0)),"")</f>
        <v>Viajes</v>
      </c>
    </row>
    <row r="30" ht="15.75" customHeight="1">
      <c r="A30" s="1"/>
      <c r="B30" s="14" t="str">
        <f t="shared" si="1"/>
        <v>Restaurantes</v>
      </c>
      <c r="C30" s="119" t="str">
        <f>IF(B30="","",IF((IFERROR(MATCH(B30,'MIS FINANZAS'!$B$7:$B$103,0),0))&gt;0,"Ingreso","Gasto"))</f>
        <v>Gasto</v>
      </c>
      <c r="D30" s="119" t="str">
        <f>IFERROR(IF(C30="Ingreso",VLOOKUP(B30,'MIS FINANZAS'!$B$7:$F$103,2,0),VLOOKUP(B30,'MIS FINANZAS'!$H$7:$L$103,2,0)),"")</f>
        <v>No necesario</v>
      </c>
      <c r="E30" s="119" t="str">
        <f>IFERROR(IFERROR(VLOOKUP(B30,'MIS FINANZAS'!$B$7:$F$103,4,0),VLOOKUP(B30,'MIS FINANZAS'!$H$7:$L$103,4,0)),"")</f>
        <v>Entretenimiento</v>
      </c>
      <c r="F30" s="119" t="str">
        <f>IFERROR(IF(C30="Ingreso",VLOOKUP(B30,'MIS FINANZAS'!$B$7:$F$103,3,0),VLOOKUP(B30,'MIS FINANZAS'!$H$7:$L$103,3,0)),"")</f>
        <v>Mensual</v>
      </c>
      <c r="G30" s="196">
        <f>IF(D30="No tan necesario",VLOOKUP(B30,'OPORTUNIDADES DE MEJORA'!$AL$7:$AQ$103,6,0),IF(D30="No necesario",VLOOKUP(B30,'OPORTUNIDADES DE MEJORA'!$AL$7:$AQ$103,6,0),IF(D30="Necesario",VLOOKUP(B30,'MIS FINANZAS'!$H$7:$L$103,5,0),IF(C30="Ingreso",VLOOKUP(B30,'MIS FINANZAS'!$B$7:$F$103,5,0),""))))</f>
        <v>200000</v>
      </c>
      <c r="H30" s="17">
        <f t="shared" si="2"/>
        <v>200000</v>
      </c>
      <c r="I30" s="196">
        <f t="shared" si="3"/>
        <v>2400000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>
        <v>24.0</v>
      </c>
      <c r="AB30" s="1" t="str">
        <f>IFERROR(IFERROR(VLOOKUP(AA30,'MIS FINANZAS'!$AQ$7:$AR$103,2,0),VLOOKUP(AA30,'MIS FINANZAS'!$AS$7:$AT$103,2,0)),"")</f>
        <v>Restaurantes</v>
      </c>
    </row>
    <row r="31" ht="15.75" customHeight="1">
      <c r="A31" s="1"/>
      <c r="B31" s="14" t="str">
        <f t="shared" si="1"/>
        <v>Peluqueria perritos</v>
      </c>
      <c r="C31" s="119" t="str">
        <f>IF(B31="","",IF((IFERROR(MATCH(B31,'MIS FINANZAS'!$B$7:$B$103,0),0))&gt;0,"Ingreso","Gasto"))</f>
        <v>Gasto</v>
      </c>
      <c r="D31" s="119" t="str">
        <f>IFERROR(IF(C31="Ingreso",VLOOKUP(B31,'MIS FINANZAS'!$B$7:$F$103,2,0),VLOOKUP(B31,'MIS FINANZAS'!$H$7:$L$103,2,0)),"")</f>
        <v>Necesario</v>
      </c>
      <c r="E31" s="119" t="str">
        <f>IFERROR(IFERROR(VLOOKUP(B31,'MIS FINANZAS'!$B$7:$F$103,4,0),VLOOKUP(B31,'MIS FINANZAS'!$H$7:$L$103,4,0)),"")</f>
        <v>Familia</v>
      </c>
      <c r="F31" s="119" t="str">
        <f>IFERROR(IF(C31="Ingreso",VLOOKUP(B31,'MIS FINANZAS'!$B$7:$F$103,3,0),VLOOKUP(B31,'MIS FINANZAS'!$H$7:$L$103,3,0)),"")</f>
        <v>Mensual</v>
      </c>
      <c r="G31" s="196">
        <f>IF(D31="No tan necesario",VLOOKUP(B31,'OPORTUNIDADES DE MEJORA'!$AL$7:$AQ$103,6,0),IF(D31="No necesario",VLOOKUP(B31,'OPORTUNIDADES DE MEJORA'!$AL$7:$AQ$103,6,0),IF(D31="Necesario",VLOOKUP(B31,'MIS FINANZAS'!$H$7:$L$103,5,0),IF(C31="Ingreso",VLOOKUP(B31,'MIS FINANZAS'!$B$7:$F$103,5,0),""))))</f>
        <v>150000</v>
      </c>
      <c r="H31" s="17">
        <f t="shared" si="2"/>
        <v>150000</v>
      </c>
      <c r="I31" s="196">
        <f t="shared" si="3"/>
        <v>1800000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>
        <v>25.0</v>
      </c>
      <c r="AB31" s="1" t="str">
        <f>IFERROR(IFERROR(VLOOKUP(AA31,'MIS FINANZAS'!$AQ$7:$AR$103,2,0),VLOOKUP(AA31,'MIS FINANZAS'!$AS$7:$AT$103,2,0)),"")</f>
        <v>Peluqueria perritos</v>
      </c>
    </row>
    <row r="32" ht="15.75" customHeight="1">
      <c r="A32" s="1"/>
      <c r="B32" s="14" t="str">
        <f t="shared" si="1"/>
        <v>Seguro médico</v>
      </c>
      <c r="C32" s="119" t="str">
        <f>IF(B32="","",IF((IFERROR(MATCH(B32,'MIS FINANZAS'!$B$7:$B$103,0),0))&gt;0,"Ingreso","Gasto"))</f>
        <v>Gasto</v>
      </c>
      <c r="D32" s="119" t="str">
        <f>IFERROR(IF(C32="Ingreso",VLOOKUP(B32,'MIS FINANZAS'!$B$7:$F$103,2,0),VLOOKUP(B32,'MIS FINANZAS'!$H$7:$L$103,2,0)),"")</f>
        <v>Necesario</v>
      </c>
      <c r="E32" s="119" t="str">
        <f>IFERROR(IFERROR(VLOOKUP(B32,'MIS FINANZAS'!$B$7:$F$103,4,0),VLOOKUP(B32,'MIS FINANZAS'!$H$7:$L$103,4,0)),"")</f>
        <v>Familia</v>
      </c>
      <c r="F32" s="119" t="str">
        <f>IFERROR(IF(C32="Ingreso",VLOOKUP(B32,'MIS FINANZAS'!$B$7:$F$103,3,0),VLOOKUP(B32,'MIS FINANZAS'!$H$7:$L$103,3,0)),"")</f>
        <v>Mensual</v>
      </c>
      <c r="G32" s="196">
        <f>IF(D32="No tan necesario",VLOOKUP(B32,'OPORTUNIDADES DE MEJORA'!$AL$7:$AQ$103,6,0),IF(D32="No necesario",VLOOKUP(B32,'OPORTUNIDADES DE MEJORA'!$AL$7:$AQ$103,6,0),IF(D32="Necesario",VLOOKUP(B32,'MIS FINANZAS'!$H$7:$L$103,5,0),IF(C32="Ingreso",VLOOKUP(B32,'MIS FINANZAS'!$B$7:$F$103,5,0),""))))</f>
        <v>400000</v>
      </c>
      <c r="H32" s="17">
        <f t="shared" si="2"/>
        <v>400000</v>
      </c>
      <c r="I32" s="196">
        <f t="shared" si="3"/>
        <v>4800000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>
        <v>26.0</v>
      </c>
      <c r="AB32" s="1" t="str">
        <f>IFERROR(IFERROR(VLOOKUP(AA32,'MIS FINANZAS'!$AQ$7:$AR$103,2,0),VLOOKUP(AA32,'MIS FINANZAS'!$AS$7:$AT$103,2,0)),"")</f>
        <v>Seguro médico</v>
      </c>
    </row>
    <row r="33" ht="15.75" customHeight="1">
      <c r="A33" s="1"/>
      <c r="B33" s="14" t="str">
        <f t="shared" si="1"/>
        <v>Centro comercial</v>
      </c>
      <c r="C33" s="119" t="str">
        <f>IF(B33="","",IF((IFERROR(MATCH(B33,'MIS FINANZAS'!$B$7:$B$103,0),0))&gt;0,"Ingreso","Gasto"))</f>
        <v>Gasto</v>
      </c>
      <c r="D33" s="119" t="str">
        <f>IFERROR(IF(C33="Ingreso",VLOOKUP(B33,'MIS FINANZAS'!$B$7:$F$103,2,0),VLOOKUP(B33,'MIS FINANZAS'!$H$7:$L$103,2,0)),"")</f>
        <v>No necesario</v>
      </c>
      <c r="E33" s="119" t="str">
        <f>IFERROR(IFERROR(VLOOKUP(B33,'MIS FINANZAS'!$B$7:$F$103,4,0),VLOOKUP(B33,'MIS FINANZAS'!$H$7:$L$103,4,0)),"")</f>
        <v>Entretenimiento</v>
      </c>
      <c r="F33" s="119" t="str">
        <f>IFERROR(IF(C33="Ingreso",VLOOKUP(B33,'MIS FINANZAS'!$B$7:$F$103,3,0),VLOOKUP(B33,'MIS FINANZAS'!$H$7:$L$103,3,0)),"")</f>
        <v>Mensual</v>
      </c>
      <c r="G33" s="196">
        <f>IF(D33="No tan necesario",VLOOKUP(B33,'OPORTUNIDADES DE MEJORA'!$AL$7:$AQ$103,6,0),IF(D33="No necesario",VLOOKUP(B33,'OPORTUNIDADES DE MEJORA'!$AL$7:$AQ$103,6,0),IF(D33="Necesario",VLOOKUP(B33,'MIS FINANZAS'!$H$7:$L$103,5,0),IF(C33="Ingreso",VLOOKUP(B33,'MIS FINANZAS'!$B$7:$F$103,5,0),""))))</f>
        <v>150000</v>
      </c>
      <c r="H33" s="17">
        <f t="shared" si="2"/>
        <v>150000</v>
      </c>
      <c r="I33" s="196">
        <f t="shared" si="3"/>
        <v>1800000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>
        <v>27.0</v>
      </c>
      <c r="AB33" s="1" t="str">
        <f>IFERROR(IFERROR(VLOOKUP(AA33,'MIS FINANZAS'!$AQ$7:$AR$103,2,0),VLOOKUP(AA33,'MIS FINANZAS'!$AS$7:$AT$103,2,0)),"")</f>
        <v>Centro comercial</v>
      </c>
    </row>
    <row r="34" ht="15.75" customHeight="1">
      <c r="A34" s="1"/>
      <c r="B34" s="14" t="str">
        <f t="shared" si="1"/>
        <v>Impuestos</v>
      </c>
      <c r="C34" s="119" t="str">
        <f>IF(B34="","",IF((IFERROR(MATCH(B34,'MIS FINANZAS'!$B$7:$B$103,0),0))&gt;0,"Ingreso","Gasto"))</f>
        <v>Gasto</v>
      </c>
      <c r="D34" s="119" t="str">
        <f>IFERROR(IF(C34="Ingreso",VLOOKUP(B34,'MIS FINANZAS'!$B$7:$F$103,2,0),VLOOKUP(B34,'MIS FINANZAS'!$H$7:$L$103,2,0)),"")</f>
        <v>Necesario</v>
      </c>
      <c r="E34" s="119" t="str">
        <f>IFERROR(IFERROR(VLOOKUP(B34,'MIS FINANZAS'!$B$7:$F$103,4,0),VLOOKUP(B34,'MIS FINANZAS'!$H$7:$L$103,4,0)),"")</f>
        <v>Impuestos</v>
      </c>
      <c r="F34" s="119" t="str">
        <f>IFERROR(IF(C34="Ingreso",VLOOKUP(B34,'MIS FINANZAS'!$B$7:$F$103,3,0),VLOOKUP(B34,'MIS FINANZAS'!$H$7:$L$103,3,0)),"")</f>
        <v>Anual</v>
      </c>
      <c r="G34" s="196">
        <f>IF(D34="No tan necesario",VLOOKUP(B34,'OPORTUNIDADES DE MEJORA'!$AL$7:$AQ$103,6,0),IF(D34="No necesario",VLOOKUP(B34,'OPORTUNIDADES DE MEJORA'!$AL$7:$AQ$103,6,0),IF(D34="Necesario",VLOOKUP(B34,'MIS FINANZAS'!$H$7:$L$103,5,0),IF(C34="Ingreso",VLOOKUP(B34,'MIS FINANZAS'!$B$7:$F$103,5,0),""))))</f>
        <v>1300000</v>
      </c>
      <c r="H34" s="17">
        <f t="shared" si="2"/>
        <v>108333.3333</v>
      </c>
      <c r="I34" s="196">
        <f t="shared" si="3"/>
        <v>1300000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v>28.0</v>
      </c>
      <c r="AB34" s="1" t="str">
        <f>IFERROR(IFERROR(VLOOKUP(AA34,'MIS FINANZAS'!$AQ$7:$AR$103,2,0),VLOOKUP(AA34,'MIS FINANZAS'!$AS$7:$AT$103,2,0)),"")</f>
        <v>Impuestos</v>
      </c>
    </row>
    <row r="35" ht="15.75" customHeight="1">
      <c r="A35" s="1"/>
      <c r="B35" s="14" t="str">
        <f t="shared" si="1"/>
        <v>Juguetes perritos</v>
      </c>
      <c r="C35" s="119" t="str">
        <f>IF(B35="","",IF((IFERROR(MATCH(B35,'MIS FINANZAS'!$B$7:$B$103,0),0))&gt;0,"Ingreso","Gasto"))</f>
        <v>Gasto</v>
      </c>
      <c r="D35" s="119" t="str">
        <f>IFERROR(IF(C35="Ingreso",VLOOKUP(B35,'MIS FINANZAS'!$B$7:$F$103,2,0),VLOOKUP(B35,'MIS FINANZAS'!$H$7:$L$103,2,0)),"")</f>
        <v>No necesario</v>
      </c>
      <c r="E35" s="119" t="str">
        <f>IFERROR(IFERROR(VLOOKUP(B35,'MIS FINANZAS'!$B$7:$F$103,4,0),VLOOKUP(B35,'MIS FINANZAS'!$H$7:$L$103,4,0)),"")</f>
        <v>Familia</v>
      </c>
      <c r="F35" s="119" t="str">
        <f>IFERROR(IF(C35="Ingreso",VLOOKUP(B35,'MIS FINANZAS'!$B$7:$F$103,3,0),VLOOKUP(B35,'MIS FINANZAS'!$H$7:$L$103,3,0)),"")</f>
        <v>Bimensual</v>
      </c>
      <c r="G35" s="196">
        <f>IF(D35="No tan necesario",VLOOKUP(B35,'OPORTUNIDADES DE MEJORA'!$AL$7:$AQ$103,6,0),IF(D35="No necesario",VLOOKUP(B35,'OPORTUNIDADES DE MEJORA'!$AL$7:$AQ$103,6,0),IF(D35="Necesario",VLOOKUP(B35,'MIS FINANZAS'!$H$7:$L$103,5,0),IF(C35="Ingreso",VLOOKUP(B35,'MIS FINANZAS'!$B$7:$F$103,5,0),""))))</f>
        <v>0</v>
      </c>
      <c r="H35" s="17">
        <f t="shared" si="2"/>
        <v>0</v>
      </c>
      <c r="I35" s="196">
        <f t="shared" si="3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v>29.0</v>
      </c>
      <c r="AB35" s="1" t="str">
        <f>IFERROR(IFERROR(VLOOKUP(AA35,'MIS FINANZAS'!$AQ$7:$AR$103,2,0),VLOOKUP(AA35,'MIS FINANZAS'!$AS$7:$AT$103,2,0)),"")</f>
        <v>Juguetes perritos</v>
      </c>
    </row>
    <row r="36" ht="15.75" customHeight="1">
      <c r="A36" s="1"/>
      <c r="B36" s="14" t="str">
        <f t="shared" si="1"/>
        <v>Peluquería</v>
      </c>
      <c r="C36" s="119" t="str">
        <f>IF(B36="","",IF((IFERROR(MATCH(B36,'MIS FINANZAS'!$B$7:$B$103,0),0))&gt;0,"Ingreso","Gasto"))</f>
        <v>Gasto</v>
      </c>
      <c r="D36" s="119" t="str">
        <f>IFERROR(IF(C36="Ingreso",VLOOKUP(B36,'MIS FINANZAS'!$B$7:$F$103,2,0),VLOOKUP(B36,'MIS FINANZAS'!$H$7:$L$103,2,0)),"")</f>
        <v>Necesario</v>
      </c>
      <c r="E36" s="119" t="str">
        <f>IFERROR(IFERROR(VLOOKUP(B36,'MIS FINANZAS'!$B$7:$F$103,4,0),VLOOKUP(B36,'MIS FINANZAS'!$H$7:$L$103,4,0)),"")</f>
        <v>Otros gastos</v>
      </c>
      <c r="F36" s="119" t="str">
        <f>IFERROR(IF(C36="Ingreso",VLOOKUP(B36,'MIS FINANZAS'!$B$7:$F$103,3,0),VLOOKUP(B36,'MIS FINANZAS'!$H$7:$L$103,3,0)),"")</f>
        <v>Mensual</v>
      </c>
      <c r="G36" s="196">
        <f>IF(D36="No tan necesario",VLOOKUP(B36,'OPORTUNIDADES DE MEJORA'!$AL$7:$AQ$103,6,0),IF(D36="No necesario",VLOOKUP(B36,'OPORTUNIDADES DE MEJORA'!$AL$7:$AQ$103,6,0),IF(D36="Necesario",VLOOKUP(B36,'MIS FINANZAS'!$H$7:$L$103,5,0),IF(C36="Ingreso",VLOOKUP(B36,'MIS FINANZAS'!$B$7:$F$103,5,0),""))))</f>
        <v>100000</v>
      </c>
      <c r="H36" s="17">
        <f t="shared" si="2"/>
        <v>100000</v>
      </c>
      <c r="I36" s="196">
        <f t="shared" si="3"/>
        <v>1200000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>
        <v>30.0</v>
      </c>
      <c r="AB36" s="1" t="str">
        <f>IFERROR(IFERROR(VLOOKUP(AA36,'MIS FINANZAS'!$AQ$7:$AR$103,2,0),VLOOKUP(AA36,'MIS FINANZAS'!$AS$7:$AT$103,2,0)),"")</f>
        <v>Peluquería</v>
      </c>
    </row>
    <row r="37" ht="15.75" customHeight="1">
      <c r="A37" s="1"/>
      <c r="B37" s="14" t="str">
        <f t="shared" si="1"/>
        <v>Domicilios</v>
      </c>
      <c r="C37" s="119" t="str">
        <f>IF(B37="","",IF((IFERROR(MATCH(B37,'MIS FINANZAS'!$B$7:$B$103,0),0))&gt;0,"Ingreso","Gasto"))</f>
        <v>Gasto</v>
      </c>
      <c r="D37" s="119" t="str">
        <f>IFERROR(IF(C37="Ingreso",VLOOKUP(B37,'MIS FINANZAS'!$B$7:$F$103,2,0),VLOOKUP(B37,'MIS FINANZAS'!$H$7:$L$103,2,0)),"")</f>
        <v>No necesario</v>
      </c>
      <c r="E37" s="119" t="str">
        <f>IFERROR(IFERROR(VLOOKUP(B37,'MIS FINANZAS'!$B$7:$F$103,4,0),VLOOKUP(B37,'MIS FINANZAS'!$H$7:$L$103,4,0)),"")</f>
        <v>Alimentación</v>
      </c>
      <c r="F37" s="119" t="str">
        <f>IFERROR(IF(C37="Ingreso",VLOOKUP(B37,'MIS FINANZAS'!$B$7:$F$103,3,0),VLOOKUP(B37,'MIS FINANZAS'!$H$7:$L$103,3,0)),"")</f>
        <v>Mensual</v>
      </c>
      <c r="G37" s="196">
        <f>IF(D37="No tan necesario",VLOOKUP(B37,'OPORTUNIDADES DE MEJORA'!$AL$7:$AQ$103,6,0),IF(D37="No necesario",VLOOKUP(B37,'OPORTUNIDADES DE MEJORA'!$AL$7:$AQ$103,6,0),IF(D37="Necesario",VLOOKUP(B37,'MIS FINANZAS'!$H$7:$L$103,5,0),IF(C37="Ingreso",VLOOKUP(B37,'MIS FINANZAS'!$B$7:$F$103,5,0),""))))</f>
        <v>100000</v>
      </c>
      <c r="H37" s="17">
        <f t="shared" si="2"/>
        <v>100000</v>
      </c>
      <c r="I37" s="196">
        <f t="shared" si="3"/>
        <v>1200000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>
        <v>31.0</v>
      </c>
      <c r="AB37" s="1" t="str">
        <f>IFERROR(IFERROR(VLOOKUP(AA37,'MIS FINANZAS'!$AQ$7:$AR$103,2,0),VLOOKUP(AA37,'MIS FINANZAS'!$AS$7:$AT$103,2,0)),"")</f>
        <v>Domicilios</v>
      </c>
    </row>
    <row r="38" ht="15.75" customHeight="1">
      <c r="A38" s="1"/>
      <c r="B38" s="14" t="str">
        <f t="shared" si="1"/>
        <v>Ropa</v>
      </c>
      <c r="C38" s="119" t="str">
        <f>IF(B38="","",IF((IFERROR(MATCH(B38,'MIS FINANZAS'!$B$7:$B$103,0),0))&gt;0,"Ingreso","Gasto"))</f>
        <v>Gasto</v>
      </c>
      <c r="D38" s="119" t="str">
        <f>IFERROR(IF(C38="Ingreso",VLOOKUP(B38,'MIS FINANZAS'!$B$7:$F$103,2,0),VLOOKUP(B38,'MIS FINANZAS'!$H$7:$L$103,2,0)),"")</f>
        <v>No tan necesario</v>
      </c>
      <c r="E38" s="119" t="str">
        <f>IFERROR(IFERROR(VLOOKUP(B38,'MIS FINANZAS'!$B$7:$F$103,4,0),VLOOKUP(B38,'MIS FINANZAS'!$H$7:$L$103,4,0)),"")</f>
        <v>Otros gastos</v>
      </c>
      <c r="F38" s="119" t="str">
        <f>IFERROR(IF(C38="Ingreso",VLOOKUP(B38,'MIS FINANZAS'!$B$7:$F$103,3,0),VLOOKUP(B38,'MIS FINANZAS'!$H$7:$L$103,3,0)),"")</f>
        <v>Trimestral</v>
      </c>
      <c r="G38" s="196">
        <f>IF(D38="No tan necesario",VLOOKUP(B38,'OPORTUNIDADES DE MEJORA'!$AL$7:$AQ$103,6,0),IF(D38="No necesario",VLOOKUP(B38,'OPORTUNIDADES DE MEJORA'!$AL$7:$AQ$103,6,0),IF(D38="Necesario",VLOOKUP(B38,'MIS FINANZAS'!$H$7:$L$103,5,0),IF(C38="Ingreso",VLOOKUP(B38,'MIS FINANZAS'!$B$7:$F$103,5,0),""))))</f>
        <v>450000</v>
      </c>
      <c r="H38" s="17">
        <f t="shared" si="2"/>
        <v>150000</v>
      </c>
      <c r="I38" s="196">
        <f t="shared" si="3"/>
        <v>1800000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>
        <v>32.0</v>
      </c>
      <c r="AB38" s="1" t="str">
        <f>IFERROR(IFERROR(VLOOKUP(AA38,'MIS FINANZAS'!$AQ$7:$AR$103,2,0),VLOOKUP(AA38,'MIS FINANZAS'!$AS$7:$AT$103,2,0)),"")</f>
        <v>Ropa</v>
      </c>
    </row>
    <row r="39" ht="15.75" customHeight="1">
      <c r="A39" s="1"/>
      <c r="B39" s="14" t="str">
        <f t="shared" si="1"/>
        <v/>
      </c>
      <c r="C39" s="119" t="str">
        <f>IF(B39="","",IF((IFERROR(MATCH(B39,'MIS FINANZAS'!$B$7:$B$103,0),0))&gt;0,"Ingreso","Gasto"))</f>
        <v/>
      </c>
      <c r="D39" s="119" t="str">
        <f>IFERROR(IF(C39="Ingreso",VLOOKUP(B39,'MIS FINANZAS'!$B$7:$F$103,2,0),VLOOKUP(B39,'MIS FINANZAS'!$H$7:$L$103,2,0)),"")</f>
        <v/>
      </c>
      <c r="E39" s="119" t="str">
        <f>IFERROR(IFERROR(VLOOKUP(B39,'MIS FINANZAS'!$B$7:$F$103,4,0),VLOOKUP(B39,'MIS FINANZAS'!$H$7:$L$103,4,0)),"")</f>
        <v/>
      </c>
      <c r="F39" s="119" t="str">
        <f>IFERROR(IF(C39="Ingreso",VLOOKUP(B39,'MIS FINANZAS'!$B$7:$F$103,3,0),VLOOKUP(B39,'MIS FINANZAS'!$H$7:$L$103,3,0)),"")</f>
        <v/>
      </c>
      <c r="G39" s="196" t="str">
        <f>IF(D39="No tan necesario",VLOOKUP(B39,'OPORTUNIDADES DE MEJORA'!$AL$7:$AQ$103,6,0),IF(D39="No necesario",VLOOKUP(B39,'OPORTUNIDADES DE MEJORA'!$AL$7:$AQ$103,6,0),IF(D39="Necesario",VLOOKUP(B39,'MIS FINANZAS'!$H$7:$L$103,5,0),IF(C39="Ingreso",VLOOKUP(B39,'MIS FINANZAS'!$B$7:$F$103,5,0),""))))</f>
        <v/>
      </c>
      <c r="H39" s="17" t="str">
        <f t="shared" si="2"/>
        <v/>
      </c>
      <c r="I39" s="196" t="str">
        <f t="shared" si="3"/>
        <v/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>
        <v>33.0</v>
      </c>
      <c r="AB39" s="1" t="str">
        <f>IFERROR(IFERROR(VLOOKUP(AA39,'MIS FINANZAS'!$AQ$7:$AR$103,2,0),VLOOKUP(AA39,'MIS FINANZAS'!$AS$7:$AT$103,2,0)),"")</f>
        <v/>
      </c>
    </row>
    <row r="40" ht="15.75" customHeight="1">
      <c r="A40" s="1"/>
      <c r="B40" s="14" t="str">
        <f t="shared" si="1"/>
        <v/>
      </c>
      <c r="C40" s="119" t="str">
        <f>IF(B40="","",IF((IFERROR(MATCH(B40,'MIS FINANZAS'!$B$7:$B$103,0),0))&gt;0,"Ingreso","Gasto"))</f>
        <v/>
      </c>
      <c r="D40" s="119" t="str">
        <f>IFERROR(IF(C40="Ingreso",VLOOKUP(B40,'MIS FINANZAS'!$B$7:$F$103,2,0),VLOOKUP(B40,'MIS FINANZAS'!$H$7:$L$103,2,0)),"")</f>
        <v/>
      </c>
      <c r="E40" s="119" t="str">
        <f>IFERROR(IFERROR(VLOOKUP(B40,'MIS FINANZAS'!$B$7:$F$103,4,0),VLOOKUP(B40,'MIS FINANZAS'!$H$7:$L$103,4,0)),"")</f>
        <v/>
      </c>
      <c r="F40" s="119" t="str">
        <f>IFERROR(IF(C40="Ingreso",VLOOKUP(B40,'MIS FINANZAS'!$B$7:$F$103,3,0),VLOOKUP(B40,'MIS FINANZAS'!$H$7:$L$103,3,0)),"")</f>
        <v/>
      </c>
      <c r="G40" s="196" t="str">
        <f>IF(D40="No tan necesario",VLOOKUP(B40,'OPORTUNIDADES DE MEJORA'!$AL$7:$AQ$103,6,0),IF(D40="No necesario",VLOOKUP(B40,'OPORTUNIDADES DE MEJORA'!$AL$7:$AQ$103,6,0),IF(D40="Necesario",VLOOKUP(B40,'MIS FINANZAS'!$H$7:$L$103,5,0),IF(C40="Ingreso",VLOOKUP(B40,'MIS FINANZAS'!$B$7:$F$103,5,0),""))))</f>
        <v/>
      </c>
      <c r="H40" s="17" t="str">
        <f t="shared" si="2"/>
        <v/>
      </c>
      <c r="I40" s="196" t="str">
        <f t="shared" si="3"/>
        <v/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>
        <v>34.0</v>
      </c>
      <c r="AB40" s="1" t="str">
        <f>IFERROR(IFERROR(VLOOKUP(AA40,'MIS FINANZAS'!$AQ$7:$AR$103,2,0),VLOOKUP(AA40,'MIS FINANZAS'!$AS$7:$AT$103,2,0)),"")</f>
        <v/>
      </c>
    </row>
    <row r="41" ht="15.75" customHeight="1">
      <c r="A41" s="1"/>
      <c r="B41" s="14" t="str">
        <f t="shared" si="1"/>
        <v/>
      </c>
      <c r="C41" s="119" t="str">
        <f>IF(B41="","",IF((IFERROR(MATCH(B41,'MIS FINANZAS'!$B$7:$B$103,0),0))&gt;0,"Ingreso","Gasto"))</f>
        <v/>
      </c>
      <c r="D41" s="119" t="str">
        <f>IFERROR(IF(C41="Ingreso",VLOOKUP(B41,'MIS FINANZAS'!$B$7:$F$103,2,0),VLOOKUP(B41,'MIS FINANZAS'!$H$7:$L$103,2,0)),"")</f>
        <v/>
      </c>
      <c r="E41" s="119" t="str">
        <f>IFERROR(IFERROR(VLOOKUP(B41,'MIS FINANZAS'!$B$7:$F$103,4,0),VLOOKUP(B41,'MIS FINANZAS'!$H$7:$L$103,4,0)),"")</f>
        <v/>
      </c>
      <c r="F41" s="119" t="str">
        <f>IFERROR(IF(C41="Ingreso",VLOOKUP(B41,'MIS FINANZAS'!$B$7:$F$103,3,0),VLOOKUP(B41,'MIS FINANZAS'!$H$7:$L$103,3,0)),"")</f>
        <v/>
      </c>
      <c r="G41" s="196" t="str">
        <f>IF(D41="No tan necesario",VLOOKUP(B41,'OPORTUNIDADES DE MEJORA'!$AL$7:$AQ$103,6,0),IF(D41="No necesario",VLOOKUP(B41,'OPORTUNIDADES DE MEJORA'!$AL$7:$AQ$103,6,0),IF(D41="Necesario",VLOOKUP(B41,'MIS FINANZAS'!$H$7:$L$103,5,0),IF(C41="Ingreso",VLOOKUP(B41,'MIS FINANZAS'!$B$7:$F$103,5,0),""))))</f>
        <v/>
      </c>
      <c r="H41" s="17" t="str">
        <f t="shared" si="2"/>
        <v/>
      </c>
      <c r="I41" s="196" t="str">
        <f t="shared" si="3"/>
        <v/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>
        <v>35.0</v>
      </c>
      <c r="AB41" s="1" t="str">
        <f>IFERROR(IFERROR(VLOOKUP(AA41,'MIS FINANZAS'!$AQ$7:$AR$103,2,0),VLOOKUP(AA41,'MIS FINANZAS'!$AS$7:$AT$103,2,0)),"")</f>
        <v/>
      </c>
    </row>
    <row r="42" ht="15.75" customHeight="1">
      <c r="A42" s="1"/>
      <c r="B42" s="14" t="str">
        <f t="shared" si="1"/>
        <v/>
      </c>
      <c r="C42" s="119" t="str">
        <f>IF(B42="","",IF((IFERROR(MATCH(B42,'MIS FINANZAS'!$B$7:$B$103,0),0))&gt;0,"Ingreso","Gasto"))</f>
        <v/>
      </c>
      <c r="D42" s="119" t="str">
        <f>IFERROR(IF(C42="Ingreso",VLOOKUP(B42,'MIS FINANZAS'!$B$7:$F$103,2,0),VLOOKUP(B42,'MIS FINANZAS'!$H$7:$L$103,2,0)),"")</f>
        <v/>
      </c>
      <c r="E42" s="119" t="str">
        <f>IFERROR(IFERROR(VLOOKUP(B42,'MIS FINANZAS'!$B$7:$F$103,4,0),VLOOKUP(B42,'MIS FINANZAS'!$H$7:$L$103,4,0)),"")</f>
        <v/>
      </c>
      <c r="F42" s="119" t="str">
        <f>IFERROR(IF(C42="Ingreso",VLOOKUP(B42,'MIS FINANZAS'!$B$7:$F$103,3,0),VLOOKUP(B42,'MIS FINANZAS'!$H$7:$L$103,3,0)),"")</f>
        <v/>
      </c>
      <c r="G42" s="196" t="str">
        <f>IF(D42="No tan necesario",VLOOKUP(B42,'OPORTUNIDADES DE MEJORA'!$AL$7:$AQ$103,6,0),IF(D42="No necesario",VLOOKUP(B42,'OPORTUNIDADES DE MEJORA'!$AL$7:$AQ$103,6,0),IF(D42="Necesario",VLOOKUP(B42,'MIS FINANZAS'!$H$7:$L$103,5,0),IF(C42="Ingreso",VLOOKUP(B42,'MIS FINANZAS'!$B$7:$F$103,5,0),""))))</f>
        <v/>
      </c>
      <c r="H42" s="17" t="str">
        <f t="shared" si="2"/>
        <v/>
      </c>
      <c r="I42" s="196" t="str">
        <f t="shared" si="3"/>
        <v/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>
        <v>36.0</v>
      </c>
      <c r="AB42" s="1" t="str">
        <f>IFERROR(IFERROR(VLOOKUP(AA42,'MIS FINANZAS'!$AQ$7:$AR$103,2,0),VLOOKUP(AA42,'MIS FINANZAS'!$AS$7:$AT$103,2,0)),"")</f>
        <v/>
      </c>
    </row>
    <row r="43" ht="15.75" customHeight="1">
      <c r="A43" s="1"/>
      <c r="B43" s="14" t="str">
        <f t="shared" si="1"/>
        <v/>
      </c>
      <c r="C43" s="119" t="str">
        <f>IF(B43="","",IF((IFERROR(MATCH(B43,'MIS FINANZAS'!$B$7:$B$103,0),0))&gt;0,"Ingreso","Gasto"))</f>
        <v/>
      </c>
      <c r="D43" s="119" t="str">
        <f>IFERROR(IF(C43="Ingreso",VLOOKUP(B43,'MIS FINANZAS'!$B$7:$F$103,2,0),VLOOKUP(B43,'MIS FINANZAS'!$H$7:$L$103,2,0)),"")</f>
        <v/>
      </c>
      <c r="E43" s="119" t="str">
        <f>IFERROR(IFERROR(VLOOKUP(B43,'MIS FINANZAS'!$B$7:$F$103,4,0),VLOOKUP(B43,'MIS FINANZAS'!$H$7:$L$103,4,0)),"")</f>
        <v/>
      </c>
      <c r="F43" s="119" t="str">
        <f>IFERROR(IF(C43="Ingreso",VLOOKUP(B43,'MIS FINANZAS'!$B$7:$F$103,3,0),VLOOKUP(B43,'MIS FINANZAS'!$H$7:$L$103,3,0)),"")</f>
        <v/>
      </c>
      <c r="G43" s="196" t="str">
        <f>IF(D43="No tan necesario",VLOOKUP(B43,'OPORTUNIDADES DE MEJORA'!$AL$7:$AQ$103,6,0),IF(D43="No necesario",VLOOKUP(B43,'OPORTUNIDADES DE MEJORA'!$AL$7:$AQ$103,6,0),IF(D43="Necesario",VLOOKUP(B43,'MIS FINANZAS'!$H$7:$L$103,5,0),IF(C43="Ingreso",VLOOKUP(B43,'MIS FINANZAS'!$B$7:$F$103,5,0),""))))</f>
        <v/>
      </c>
      <c r="H43" s="17" t="str">
        <f t="shared" si="2"/>
        <v/>
      </c>
      <c r="I43" s="196" t="str">
        <f t="shared" si="3"/>
        <v/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>
        <v>37.0</v>
      </c>
      <c r="AB43" s="1" t="str">
        <f>IFERROR(IFERROR(VLOOKUP(AA43,'MIS FINANZAS'!$AQ$7:$AR$103,2,0),VLOOKUP(AA43,'MIS FINANZAS'!$AS$7:$AT$103,2,0)),"")</f>
        <v/>
      </c>
    </row>
    <row r="44" ht="15.75" customHeight="1">
      <c r="A44" s="1"/>
      <c r="B44" s="14" t="str">
        <f t="shared" si="1"/>
        <v/>
      </c>
      <c r="C44" s="119" t="str">
        <f>IF(B44="","",IF((IFERROR(MATCH(B44,'MIS FINANZAS'!$B$7:$B$103,0),0))&gt;0,"Ingreso","Gasto"))</f>
        <v/>
      </c>
      <c r="D44" s="119" t="str">
        <f>IFERROR(IF(C44="Ingreso",VLOOKUP(B44,'MIS FINANZAS'!$B$7:$F$103,2,0),VLOOKUP(B44,'MIS FINANZAS'!$H$7:$L$103,2,0)),"")</f>
        <v/>
      </c>
      <c r="E44" s="119" t="str">
        <f>IFERROR(IFERROR(VLOOKUP(B44,'MIS FINANZAS'!$B$7:$F$103,4,0),VLOOKUP(B44,'MIS FINANZAS'!$H$7:$L$103,4,0)),"")</f>
        <v/>
      </c>
      <c r="F44" s="119" t="str">
        <f>IFERROR(IF(C44="Ingreso",VLOOKUP(B44,'MIS FINANZAS'!$B$7:$F$103,3,0),VLOOKUP(B44,'MIS FINANZAS'!$H$7:$L$103,3,0)),"")</f>
        <v/>
      </c>
      <c r="G44" s="196" t="str">
        <f>IF(D44="No tan necesario",VLOOKUP(B44,'OPORTUNIDADES DE MEJORA'!$AL$7:$AQ$103,6,0),IF(D44="No necesario",VLOOKUP(B44,'OPORTUNIDADES DE MEJORA'!$AL$7:$AQ$103,6,0),IF(D44="Necesario",VLOOKUP(B44,'MIS FINANZAS'!$H$7:$L$103,5,0),IF(C44="Ingreso",VLOOKUP(B44,'MIS FINANZAS'!$B$7:$F$103,5,0),""))))</f>
        <v/>
      </c>
      <c r="H44" s="17" t="str">
        <f t="shared" si="2"/>
        <v/>
      </c>
      <c r="I44" s="196" t="str">
        <f t="shared" si="3"/>
        <v/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>
        <v>38.0</v>
      </c>
      <c r="AB44" s="1" t="str">
        <f>IFERROR(IFERROR(VLOOKUP(AA44,'MIS FINANZAS'!$AQ$7:$AR$103,2,0),VLOOKUP(AA44,'MIS FINANZAS'!$AS$7:$AT$103,2,0)),"")</f>
        <v/>
      </c>
    </row>
    <row r="45" ht="15.75" customHeight="1">
      <c r="A45" s="1"/>
      <c r="B45" s="14" t="str">
        <f t="shared" si="1"/>
        <v/>
      </c>
      <c r="C45" s="119" t="str">
        <f>IF(B45="","",IF((IFERROR(MATCH(B45,'MIS FINANZAS'!$B$7:$B$103,0),0))&gt;0,"Ingreso","Gasto"))</f>
        <v/>
      </c>
      <c r="D45" s="119" t="str">
        <f>IFERROR(IF(C45="Ingreso",VLOOKUP(B45,'MIS FINANZAS'!$B$7:$F$103,2,0),VLOOKUP(B45,'MIS FINANZAS'!$H$7:$L$103,2,0)),"")</f>
        <v/>
      </c>
      <c r="E45" s="119" t="str">
        <f>IFERROR(IFERROR(VLOOKUP(B45,'MIS FINANZAS'!$B$7:$F$103,4,0),VLOOKUP(B45,'MIS FINANZAS'!$H$7:$L$103,4,0)),"")</f>
        <v/>
      </c>
      <c r="F45" s="119" t="str">
        <f>IFERROR(IF(C45="Ingreso",VLOOKUP(B45,'MIS FINANZAS'!$B$7:$F$103,3,0),VLOOKUP(B45,'MIS FINANZAS'!$H$7:$L$103,3,0)),"")</f>
        <v/>
      </c>
      <c r="G45" s="196" t="str">
        <f>IF(D45="No tan necesario",VLOOKUP(B45,'OPORTUNIDADES DE MEJORA'!$AL$7:$AQ$103,6,0),IF(D45="No necesario",VLOOKUP(B45,'OPORTUNIDADES DE MEJORA'!$AL$7:$AQ$103,6,0),IF(D45="Necesario",VLOOKUP(B45,'MIS FINANZAS'!$H$7:$L$103,5,0),IF(C45="Ingreso",VLOOKUP(B45,'MIS FINANZAS'!$B$7:$F$103,5,0),""))))</f>
        <v/>
      </c>
      <c r="H45" s="17" t="str">
        <f t="shared" si="2"/>
        <v/>
      </c>
      <c r="I45" s="196" t="str">
        <f t="shared" si="3"/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>
        <v>39.0</v>
      </c>
      <c r="AB45" s="1" t="str">
        <f>IFERROR(IFERROR(VLOOKUP(AA45,'MIS FINANZAS'!$AQ$7:$AR$103,2,0),VLOOKUP(AA45,'MIS FINANZAS'!$AS$7:$AT$103,2,0)),"")</f>
        <v/>
      </c>
    </row>
    <row r="46" ht="15.75" customHeight="1">
      <c r="A46" s="1"/>
      <c r="B46" s="14" t="str">
        <f t="shared" si="1"/>
        <v/>
      </c>
      <c r="C46" s="119" t="str">
        <f>IF(B46="","",IF((IFERROR(MATCH(B46,'MIS FINANZAS'!$B$7:$B$103,0),0))&gt;0,"Ingreso","Gasto"))</f>
        <v/>
      </c>
      <c r="D46" s="119" t="str">
        <f>IFERROR(IF(C46="Ingreso",VLOOKUP(B46,'MIS FINANZAS'!$B$7:$F$103,2,0),VLOOKUP(B46,'MIS FINANZAS'!$H$7:$L$103,2,0)),"")</f>
        <v/>
      </c>
      <c r="E46" s="119" t="str">
        <f>IFERROR(IFERROR(VLOOKUP(B46,'MIS FINANZAS'!$B$7:$F$103,4,0),VLOOKUP(B46,'MIS FINANZAS'!$H$7:$L$103,4,0)),"")</f>
        <v/>
      </c>
      <c r="F46" s="119" t="str">
        <f>IFERROR(IF(C46="Ingreso",VLOOKUP(B46,'MIS FINANZAS'!$B$7:$F$103,3,0),VLOOKUP(B46,'MIS FINANZAS'!$H$7:$L$103,3,0)),"")</f>
        <v/>
      </c>
      <c r="G46" s="196" t="str">
        <f>IF(D46="No tan necesario",VLOOKUP(B46,'OPORTUNIDADES DE MEJORA'!$AL$7:$AQ$103,6,0),IF(D46="No necesario",VLOOKUP(B46,'OPORTUNIDADES DE MEJORA'!$AL$7:$AQ$103,6,0),IF(D46="Necesario",VLOOKUP(B46,'MIS FINANZAS'!$H$7:$L$103,5,0),IF(C46="Ingreso",VLOOKUP(B46,'MIS FINANZAS'!$B$7:$F$103,5,0),""))))</f>
        <v/>
      </c>
      <c r="H46" s="17" t="str">
        <f t="shared" si="2"/>
        <v/>
      </c>
      <c r="I46" s="196" t="str">
        <f t="shared" si="3"/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>
        <v>40.0</v>
      </c>
      <c r="AB46" s="1" t="str">
        <f>IFERROR(IFERROR(VLOOKUP(AA46,'MIS FINANZAS'!$AQ$7:$AR$103,2,0),VLOOKUP(AA46,'MIS FINANZAS'!$AS$7:$AT$103,2,0)),"")</f>
        <v/>
      </c>
    </row>
    <row r="47" ht="15.75" customHeight="1">
      <c r="A47" s="1"/>
      <c r="B47" s="14" t="str">
        <f t="shared" si="1"/>
        <v/>
      </c>
      <c r="C47" s="119" t="str">
        <f>IF(B47="","",IF((IFERROR(MATCH(B47,'MIS FINANZAS'!$B$7:$B$103,0),0))&gt;0,"Ingreso","Gasto"))</f>
        <v/>
      </c>
      <c r="D47" s="119" t="str">
        <f>IFERROR(IF(C47="Ingreso",VLOOKUP(B47,'MIS FINANZAS'!$B$7:$F$103,2,0),VLOOKUP(B47,'MIS FINANZAS'!$H$7:$L$103,2,0)),"")</f>
        <v/>
      </c>
      <c r="E47" s="119" t="str">
        <f>IFERROR(IFERROR(VLOOKUP(B47,'MIS FINANZAS'!$B$7:$F$103,4,0),VLOOKUP(B47,'MIS FINANZAS'!$H$7:$L$103,4,0)),"")</f>
        <v/>
      </c>
      <c r="F47" s="119" t="str">
        <f>IFERROR(IF(C47="Ingreso",VLOOKUP(B47,'MIS FINANZAS'!$B$7:$F$103,3,0),VLOOKUP(B47,'MIS FINANZAS'!$H$7:$L$103,3,0)),"")</f>
        <v/>
      </c>
      <c r="G47" s="196" t="str">
        <f>IF(D47="No tan necesario",VLOOKUP(B47,'OPORTUNIDADES DE MEJORA'!$AL$7:$AQ$103,6,0),IF(D47="No necesario",VLOOKUP(B47,'OPORTUNIDADES DE MEJORA'!$AL$7:$AQ$103,6,0),IF(D47="Necesario",VLOOKUP(B47,'MIS FINANZAS'!$H$7:$L$103,5,0),IF(C47="Ingreso",VLOOKUP(B47,'MIS FINANZAS'!$B$7:$F$103,5,0),""))))</f>
        <v/>
      </c>
      <c r="H47" s="17" t="str">
        <f t="shared" si="2"/>
        <v/>
      </c>
      <c r="I47" s="196" t="str">
        <f t="shared" si="3"/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>
        <v>41.0</v>
      </c>
      <c r="AB47" s="1" t="str">
        <f>IFERROR(IFERROR(VLOOKUP(AA47,'MIS FINANZAS'!$AQ$7:$AR$103,2,0),VLOOKUP(AA47,'MIS FINANZAS'!$AS$7:$AT$103,2,0)),"")</f>
        <v/>
      </c>
    </row>
    <row r="48" ht="15.75" customHeight="1">
      <c r="A48" s="1"/>
      <c r="B48" s="14" t="str">
        <f t="shared" si="1"/>
        <v/>
      </c>
      <c r="C48" s="119" t="str">
        <f>IF(B48="","",IF((IFERROR(MATCH(B48,'MIS FINANZAS'!$B$7:$B$103,0),0))&gt;0,"Ingreso","Gasto"))</f>
        <v/>
      </c>
      <c r="D48" s="119" t="str">
        <f>IFERROR(IF(C48="Ingreso",VLOOKUP(B48,'MIS FINANZAS'!$B$7:$F$103,2,0),VLOOKUP(B48,'MIS FINANZAS'!$H$7:$L$103,2,0)),"")</f>
        <v/>
      </c>
      <c r="E48" s="119" t="str">
        <f>IFERROR(IFERROR(VLOOKUP(B48,'MIS FINANZAS'!$B$7:$F$103,4,0),VLOOKUP(B48,'MIS FINANZAS'!$H$7:$L$103,4,0)),"")</f>
        <v/>
      </c>
      <c r="F48" s="119" t="str">
        <f>IFERROR(IF(C48="Ingreso",VLOOKUP(B48,'MIS FINANZAS'!$B$7:$F$103,3,0),VLOOKUP(B48,'MIS FINANZAS'!$H$7:$L$103,3,0)),"")</f>
        <v/>
      </c>
      <c r="G48" s="196" t="str">
        <f>IF(D48="No tan necesario",VLOOKUP(B48,'OPORTUNIDADES DE MEJORA'!$AL$7:$AQ$103,6,0),IF(D48="No necesario",VLOOKUP(B48,'OPORTUNIDADES DE MEJORA'!$AL$7:$AQ$103,6,0),IF(D48="Necesario",VLOOKUP(B48,'MIS FINANZAS'!$H$7:$L$103,5,0),IF(C48="Ingreso",VLOOKUP(B48,'MIS FINANZAS'!$B$7:$F$103,5,0),""))))</f>
        <v/>
      </c>
      <c r="H48" s="17" t="str">
        <f t="shared" si="2"/>
        <v/>
      </c>
      <c r="I48" s="196" t="str">
        <f t="shared" si="3"/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>
        <v>42.0</v>
      </c>
      <c r="AB48" s="1" t="str">
        <f>IFERROR(IFERROR(VLOOKUP(AA48,'MIS FINANZAS'!$AQ$7:$AR$103,2,0),VLOOKUP(AA48,'MIS FINANZAS'!$AS$7:$AT$103,2,0)),"")</f>
        <v/>
      </c>
    </row>
    <row r="49" ht="15.75" customHeight="1">
      <c r="A49" s="1"/>
      <c r="B49" s="14" t="str">
        <f t="shared" si="1"/>
        <v/>
      </c>
      <c r="C49" s="119" t="str">
        <f>IF(B49="","",IF((IFERROR(MATCH(B49,'MIS FINANZAS'!$B$7:$B$103,0),0))&gt;0,"Ingreso","Gasto"))</f>
        <v/>
      </c>
      <c r="D49" s="119" t="str">
        <f>IFERROR(IF(C49="Ingreso",VLOOKUP(B49,'MIS FINANZAS'!$B$7:$F$103,2,0),VLOOKUP(B49,'MIS FINANZAS'!$H$7:$L$103,2,0)),"")</f>
        <v/>
      </c>
      <c r="E49" s="119" t="str">
        <f>IFERROR(IFERROR(VLOOKUP(B49,'MIS FINANZAS'!$B$7:$F$103,4,0),VLOOKUP(B49,'MIS FINANZAS'!$H$7:$L$103,4,0)),"")</f>
        <v/>
      </c>
      <c r="F49" s="119" t="str">
        <f>IFERROR(IF(C49="Ingreso",VLOOKUP(B49,'MIS FINANZAS'!$B$7:$F$103,3,0),VLOOKUP(B49,'MIS FINANZAS'!$H$7:$L$103,3,0)),"")</f>
        <v/>
      </c>
      <c r="G49" s="196" t="str">
        <f>IF(D49="No tan necesario",VLOOKUP(B49,'OPORTUNIDADES DE MEJORA'!$AL$7:$AQ$103,6,0),IF(D49="No necesario",VLOOKUP(B49,'OPORTUNIDADES DE MEJORA'!$AL$7:$AQ$103,6,0),IF(D49="Necesario",VLOOKUP(B49,'MIS FINANZAS'!$H$7:$L$103,5,0),IF(C49="Ingreso",VLOOKUP(B49,'MIS FINANZAS'!$B$7:$F$103,5,0),""))))</f>
        <v/>
      </c>
      <c r="H49" s="17" t="str">
        <f t="shared" si="2"/>
        <v/>
      </c>
      <c r="I49" s="196" t="str">
        <f t="shared" si="3"/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>
        <v>43.0</v>
      </c>
      <c r="AB49" s="1" t="str">
        <f>IFERROR(IFERROR(VLOOKUP(AA49,'MIS FINANZAS'!$AQ$7:$AR$103,2,0),VLOOKUP(AA49,'MIS FINANZAS'!$AS$7:$AT$103,2,0)),"")</f>
        <v/>
      </c>
    </row>
    <row r="50" ht="15.75" customHeight="1">
      <c r="A50" s="1"/>
      <c r="B50" s="14" t="str">
        <f t="shared" si="1"/>
        <v/>
      </c>
      <c r="C50" s="119" t="str">
        <f>IF(B50="","",IF((IFERROR(MATCH(B50,'MIS FINANZAS'!$B$7:$B$103,0),0))&gt;0,"Ingreso","Gasto"))</f>
        <v/>
      </c>
      <c r="D50" s="119" t="str">
        <f>IFERROR(IF(C50="Ingreso",VLOOKUP(B50,'MIS FINANZAS'!$B$7:$F$103,2,0),VLOOKUP(B50,'MIS FINANZAS'!$H$7:$L$103,2,0)),"")</f>
        <v/>
      </c>
      <c r="E50" s="119" t="str">
        <f>IFERROR(IFERROR(VLOOKUP(B50,'MIS FINANZAS'!$B$7:$F$103,4,0),VLOOKUP(B50,'MIS FINANZAS'!$H$7:$L$103,4,0)),"")</f>
        <v/>
      </c>
      <c r="F50" s="119" t="str">
        <f>IFERROR(IF(C50="Ingreso",VLOOKUP(B50,'MIS FINANZAS'!$B$7:$F$103,3,0),VLOOKUP(B50,'MIS FINANZAS'!$H$7:$L$103,3,0)),"")</f>
        <v/>
      </c>
      <c r="G50" s="196" t="str">
        <f>IF(D50="No tan necesario",VLOOKUP(B50,'OPORTUNIDADES DE MEJORA'!$AL$7:$AQ$103,6,0),IF(D50="No necesario",VLOOKUP(B50,'OPORTUNIDADES DE MEJORA'!$AL$7:$AQ$103,6,0),IF(D50="Necesario",VLOOKUP(B50,'MIS FINANZAS'!$H$7:$L$103,5,0),IF(C50="Ingreso",VLOOKUP(B50,'MIS FINANZAS'!$B$7:$F$103,5,0),""))))</f>
        <v/>
      </c>
      <c r="H50" s="17" t="str">
        <f t="shared" si="2"/>
        <v/>
      </c>
      <c r="I50" s="196" t="str">
        <f t="shared" si="3"/>
        <v/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>
        <v>44.0</v>
      </c>
      <c r="AB50" s="1" t="str">
        <f>IFERROR(IFERROR(VLOOKUP(AA50,'MIS FINANZAS'!$AQ$7:$AR$103,2,0),VLOOKUP(AA50,'MIS FINANZAS'!$AS$7:$AT$103,2,0)),"")</f>
        <v/>
      </c>
    </row>
    <row r="51" ht="15.75" customHeight="1">
      <c r="A51" s="1"/>
      <c r="B51" s="14" t="str">
        <f t="shared" si="1"/>
        <v/>
      </c>
      <c r="C51" s="119" t="str">
        <f>IF(B51="","",IF((IFERROR(MATCH(B51,'MIS FINANZAS'!$B$7:$B$103,0),0))&gt;0,"Ingreso","Gasto"))</f>
        <v/>
      </c>
      <c r="D51" s="119" t="str">
        <f>IFERROR(IF(C51="Ingreso",VLOOKUP(B51,'MIS FINANZAS'!$B$7:$F$103,2,0),VLOOKUP(B51,'MIS FINANZAS'!$H$7:$L$103,2,0)),"")</f>
        <v/>
      </c>
      <c r="E51" s="119" t="str">
        <f>IFERROR(IFERROR(VLOOKUP(B51,'MIS FINANZAS'!$B$7:$F$103,4,0),VLOOKUP(B51,'MIS FINANZAS'!$H$7:$L$103,4,0)),"")</f>
        <v/>
      </c>
      <c r="F51" s="119" t="str">
        <f>IFERROR(IF(C51="Ingreso",VLOOKUP(B51,'MIS FINANZAS'!$B$7:$F$103,3,0),VLOOKUP(B51,'MIS FINANZAS'!$H$7:$L$103,3,0)),"")</f>
        <v/>
      </c>
      <c r="G51" s="196" t="str">
        <f>IF(D51="No tan necesario",VLOOKUP(B51,'OPORTUNIDADES DE MEJORA'!$AL$7:$AQ$103,6,0),IF(D51="No necesario",VLOOKUP(B51,'OPORTUNIDADES DE MEJORA'!$AL$7:$AQ$103,6,0),IF(D51="Necesario",VLOOKUP(B51,'MIS FINANZAS'!$H$7:$L$103,5,0),IF(C51="Ingreso",VLOOKUP(B51,'MIS FINANZAS'!$B$7:$F$103,5,0),""))))</f>
        <v/>
      </c>
      <c r="H51" s="17" t="str">
        <f t="shared" si="2"/>
        <v/>
      </c>
      <c r="I51" s="196" t="str">
        <f t="shared" si="3"/>
        <v/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>
        <v>45.0</v>
      </c>
      <c r="AB51" s="1" t="str">
        <f>IFERROR(IFERROR(VLOOKUP(AA51,'MIS FINANZAS'!$AQ$7:$AR$103,2,0),VLOOKUP(AA51,'MIS FINANZAS'!$AS$7:$AT$103,2,0)),"")</f>
        <v/>
      </c>
    </row>
    <row r="52" ht="15.75" customHeight="1">
      <c r="A52" s="1"/>
      <c r="B52" s="14" t="str">
        <f t="shared" si="1"/>
        <v/>
      </c>
      <c r="C52" s="119" t="str">
        <f>IF(B52="","",IF((IFERROR(MATCH(B52,'MIS FINANZAS'!$B$7:$B$103,0),0))&gt;0,"Ingreso","Gasto"))</f>
        <v/>
      </c>
      <c r="D52" s="119" t="str">
        <f>IFERROR(IF(C52="Ingreso",VLOOKUP(B52,'MIS FINANZAS'!$B$7:$F$103,2,0),VLOOKUP(B52,'MIS FINANZAS'!$H$7:$L$103,2,0)),"")</f>
        <v/>
      </c>
      <c r="E52" s="119" t="str">
        <f>IFERROR(IFERROR(VLOOKUP(B52,'MIS FINANZAS'!$B$7:$F$103,4,0),VLOOKUP(B52,'MIS FINANZAS'!$H$7:$L$103,4,0)),"")</f>
        <v/>
      </c>
      <c r="F52" s="119" t="str">
        <f>IFERROR(IF(C52="Ingreso",VLOOKUP(B52,'MIS FINANZAS'!$B$7:$F$103,3,0),VLOOKUP(B52,'MIS FINANZAS'!$H$7:$L$103,3,0)),"")</f>
        <v/>
      </c>
      <c r="G52" s="196" t="str">
        <f>IF(D52="No tan necesario",VLOOKUP(B52,'OPORTUNIDADES DE MEJORA'!$AL$7:$AQ$103,6,0),IF(D52="No necesario",VLOOKUP(B52,'OPORTUNIDADES DE MEJORA'!$AL$7:$AQ$103,6,0),IF(D52="Necesario",VLOOKUP(B52,'MIS FINANZAS'!$H$7:$L$103,5,0),IF(C52="Ingreso",VLOOKUP(B52,'MIS FINANZAS'!$B$7:$F$103,5,0),""))))</f>
        <v/>
      </c>
      <c r="H52" s="17" t="str">
        <f t="shared" si="2"/>
        <v/>
      </c>
      <c r="I52" s="196" t="str">
        <f t="shared" si="3"/>
        <v/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>
        <v>46.0</v>
      </c>
      <c r="AB52" s="1" t="str">
        <f>IFERROR(IFERROR(VLOOKUP(AA52,'MIS FINANZAS'!$AQ$7:$AR$103,2,0),VLOOKUP(AA52,'MIS FINANZAS'!$AS$7:$AT$103,2,0)),"")</f>
        <v/>
      </c>
    </row>
    <row r="53" ht="15.75" customHeight="1">
      <c r="A53" s="1"/>
      <c r="B53" s="14" t="str">
        <f t="shared" si="1"/>
        <v/>
      </c>
      <c r="C53" s="119" t="str">
        <f>IF(B53="","",IF((IFERROR(MATCH(B53,'MIS FINANZAS'!$B$7:$B$103,0),0))&gt;0,"Ingreso","Gasto"))</f>
        <v/>
      </c>
      <c r="D53" s="119" t="str">
        <f>IFERROR(IF(C53="Ingreso",VLOOKUP(B53,'MIS FINANZAS'!$B$7:$F$103,2,0),VLOOKUP(B53,'MIS FINANZAS'!$H$7:$L$103,2,0)),"")</f>
        <v/>
      </c>
      <c r="E53" s="119" t="str">
        <f>IFERROR(IFERROR(VLOOKUP(B53,'MIS FINANZAS'!$B$7:$F$103,4,0),VLOOKUP(B53,'MIS FINANZAS'!$H$7:$L$103,4,0)),"")</f>
        <v/>
      </c>
      <c r="F53" s="119" t="str">
        <f>IFERROR(IF(C53="Ingreso",VLOOKUP(B53,'MIS FINANZAS'!$B$7:$F$103,3,0),VLOOKUP(B53,'MIS FINANZAS'!$H$7:$L$103,3,0)),"")</f>
        <v/>
      </c>
      <c r="G53" s="196" t="str">
        <f>IF(D53="No tan necesario",VLOOKUP(B53,'OPORTUNIDADES DE MEJORA'!$AL$7:$AQ$103,6,0),IF(D53="No necesario",VLOOKUP(B53,'OPORTUNIDADES DE MEJORA'!$AL$7:$AQ$103,6,0),IF(D53="Necesario",VLOOKUP(B53,'MIS FINANZAS'!$H$7:$L$103,5,0),IF(C53="Ingreso",VLOOKUP(B53,'MIS FINANZAS'!$B$7:$F$103,5,0),""))))</f>
        <v/>
      </c>
      <c r="H53" s="17" t="str">
        <f t="shared" si="2"/>
        <v/>
      </c>
      <c r="I53" s="196" t="str">
        <f t="shared" si="3"/>
        <v/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>
        <v>47.0</v>
      </c>
      <c r="AB53" s="1" t="str">
        <f>IFERROR(IFERROR(VLOOKUP(AA53,'MIS FINANZAS'!$AQ$7:$AR$103,2,0),VLOOKUP(AA53,'MIS FINANZAS'!$AS$7:$AT$103,2,0)),"")</f>
        <v/>
      </c>
    </row>
    <row r="54" ht="15.75" customHeight="1">
      <c r="A54" s="1"/>
      <c r="B54" s="14" t="str">
        <f t="shared" si="1"/>
        <v/>
      </c>
      <c r="C54" s="119" t="str">
        <f>IF(B54="","",IF((IFERROR(MATCH(B54,'MIS FINANZAS'!$B$7:$B$103,0),0))&gt;0,"Ingreso","Gasto"))</f>
        <v/>
      </c>
      <c r="D54" s="119" t="str">
        <f>IFERROR(IF(C54="Ingreso",VLOOKUP(B54,'MIS FINANZAS'!$B$7:$F$103,2,0),VLOOKUP(B54,'MIS FINANZAS'!$H$7:$L$103,2,0)),"")</f>
        <v/>
      </c>
      <c r="E54" s="119" t="str">
        <f>IFERROR(IFERROR(VLOOKUP(B54,'MIS FINANZAS'!$B$7:$F$103,4,0),VLOOKUP(B54,'MIS FINANZAS'!$H$7:$L$103,4,0)),"")</f>
        <v/>
      </c>
      <c r="F54" s="119" t="str">
        <f>IFERROR(IF(C54="Ingreso",VLOOKUP(B54,'MIS FINANZAS'!$B$7:$F$103,3,0),VLOOKUP(B54,'MIS FINANZAS'!$H$7:$L$103,3,0)),"")</f>
        <v/>
      </c>
      <c r="G54" s="196" t="str">
        <f>IF(D54="No tan necesario",VLOOKUP(B54,'OPORTUNIDADES DE MEJORA'!$AL$7:$AQ$103,6,0),IF(D54="No necesario",VLOOKUP(B54,'OPORTUNIDADES DE MEJORA'!$AL$7:$AQ$103,6,0),IF(D54="Necesario",VLOOKUP(B54,'MIS FINANZAS'!$H$7:$L$103,5,0),IF(C54="Ingreso",VLOOKUP(B54,'MIS FINANZAS'!$B$7:$F$103,5,0),""))))</f>
        <v/>
      </c>
      <c r="H54" s="17" t="str">
        <f t="shared" si="2"/>
        <v/>
      </c>
      <c r="I54" s="196" t="str">
        <f t="shared" si="3"/>
        <v/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>
        <v>48.0</v>
      </c>
      <c r="AB54" s="1" t="str">
        <f>IFERROR(IFERROR(VLOOKUP(AA54,'MIS FINANZAS'!$AQ$7:$AR$103,2,0),VLOOKUP(AA54,'MIS FINANZAS'!$AS$7:$AT$103,2,0)),"")</f>
        <v/>
      </c>
    </row>
    <row r="55" ht="15.75" customHeight="1">
      <c r="A55" s="1"/>
      <c r="B55" s="14" t="str">
        <f t="shared" si="1"/>
        <v/>
      </c>
      <c r="C55" s="119" t="str">
        <f>IF(B55="","",IF((IFERROR(MATCH(B55,'MIS FINANZAS'!$B$7:$B$103,0),0))&gt;0,"Ingreso","Gasto"))</f>
        <v/>
      </c>
      <c r="D55" s="119" t="str">
        <f>IFERROR(IF(C55="Ingreso",VLOOKUP(B55,'MIS FINANZAS'!$B$7:$F$103,2,0),VLOOKUP(B55,'MIS FINANZAS'!$H$7:$L$103,2,0)),"")</f>
        <v/>
      </c>
      <c r="E55" s="119" t="str">
        <f>IFERROR(IFERROR(VLOOKUP(B55,'MIS FINANZAS'!$B$7:$F$103,4,0),VLOOKUP(B55,'MIS FINANZAS'!$H$7:$L$103,4,0)),"")</f>
        <v/>
      </c>
      <c r="F55" s="119" t="str">
        <f>IFERROR(IF(C55="Ingreso",VLOOKUP(B55,'MIS FINANZAS'!$B$7:$F$103,3,0),VLOOKUP(B55,'MIS FINANZAS'!$H$7:$L$103,3,0)),"")</f>
        <v/>
      </c>
      <c r="G55" s="196" t="str">
        <f>IF(D55="No tan necesario",VLOOKUP(B55,'OPORTUNIDADES DE MEJORA'!$AL$7:$AQ$103,6,0),IF(D55="No necesario",VLOOKUP(B55,'OPORTUNIDADES DE MEJORA'!$AL$7:$AQ$103,6,0),IF(D55="Necesario",VLOOKUP(B55,'MIS FINANZAS'!$H$7:$L$103,5,0),IF(C55="Ingreso",VLOOKUP(B55,'MIS FINANZAS'!$B$7:$F$103,5,0),""))))</f>
        <v/>
      </c>
      <c r="H55" s="17" t="str">
        <f t="shared" si="2"/>
        <v/>
      </c>
      <c r="I55" s="196" t="str">
        <f t="shared" si="3"/>
        <v/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>
        <v>49.0</v>
      </c>
      <c r="AB55" s="1" t="str">
        <f>IFERROR(IFERROR(VLOOKUP(AA55,'MIS FINANZAS'!$AQ$7:$AR$103,2,0),VLOOKUP(AA55,'MIS FINANZAS'!$AS$7:$AT$103,2,0)),"")</f>
        <v/>
      </c>
    </row>
    <row r="56" ht="15.75" customHeight="1">
      <c r="A56" s="1"/>
      <c r="B56" s="14" t="str">
        <f t="shared" si="1"/>
        <v/>
      </c>
      <c r="C56" s="119" t="str">
        <f>IF(B56="","",IF((IFERROR(MATCH(B56,'MIS FINANZAS'!$B$7:$B$103,0),0))&gt;0,"Ingreso","Gasto"))</f>
        <v/>
      </c>
      <c r="D56" s="119" t="str">
        <f>IFERROR(IF(C56="Ingreso",VLOOKUP(B56,'MIS FINANZAS'!$B$7:$F$103,2,0),VLOOKUP(B56,'MIS FINANZAS'!$H$7:$L$103,2,0)),"")</f>
        <v/>
      </c>
      <c r="E56" s="119" t="str">
        <f>IFERROR(IFERROR(VLOOKUP(B56,'MIS FINANZAS'!$B$7:$F$103,4,0),VLOOKUP(B56,'MIS FINANZAS'!$H$7:$L$103,4,0)),"")</f>
        <v/>
      </c>
      <c r="F56" s="119" t="str">
        <f>IFERROR(IF(C56="Ingreso",VLOOKUP(B56,'MIS FINANZAS'!$B$7:$F$103,3,0),VLOOKUP(B56,'MIS FINANZAS'!$H$7:$L$103,3,0)),"")</f>
        <v/>
      </c>
      <c r="G56" s="196" t="str">
        <f>IF(D56="No tan necesario",VLOOKUP(B56,'OPORTUNIDADES DE MEJORA'!$AL$7:$AQ$103,6,0),IF(D56="No necesario",VLOOKUP(B56,'OPORTUNIDADES DE MEJORA'!$AL$7:$AQ$103,6,0),IF(D56="Necesario",VLOOKUP(B56,'MIS FINANZAS'!$H$7:$L$103,5,0),IF(C56="Ingreso",VLOOKUP(B56,'MIS FINANZAS'!$B$7:$F$103,5,0),""))))</f>
        <v/>
      </c>
      <c r="H56" s="17" t="str">
        <f t="shared" si="2"/>
        <v/>
      </c>
      <c r="I56" s="196" t="str">
        <f t="shared" si="3"/>
        <v/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>
        <v>50.0</v>
      </c>
      <c r="AB56" s="1" t="str">
        <f>IFERROR(IFERROR(VLOOKUP(AA56,'MIS FINANZAS'!$AQ$7:$AR$103,2,0),VLOOKUP(AA56,'MIS FINANZAS'!$AS$7:$AT$103,2,0)),"")</f>
        <v/>
      </c>
    </row>
    <row r="57" ht="15.75" customHeight="1">
      <c r="A57" s="1"/>
      <c r="B57" s="14" t="str">
        <f t="shared" si="1"/>
        <v/>
      </c>
      <c r="C57" s="119" t="str">
        <f>IF(B57="","",IF((IFERROR(MATCH(B57,'MIS FINANZAS'!$B$7:$B$103,0),0))&gt;0,"Ingreso","Gasto"))</f>
        <v/>
      </c>
      <c r="D57" s="119" t="str">
        <f>IFERROR(IF(C57="Ingreso",VLOOKUP(B57,'MIS FINANZAS'!$B$7:$F$103,2,0),VLOOKUP(B57,'MIS FINANZAS'!$H$7:$L$103,2,0)),"")</f>
        <v/>
      </c>
      <c r="E57" s="119" t="str">
        <f>IFERROR(IFERROR(VLOOKUP(B57,'MIS FINANZAS'!$B$7:$F$103,4,0),VLOOKUP(B57,'MIS FINANZAS'!$H$7:$L$103,4,0)),"")</f>
        <v/>
      </c>
      <c r="F57" s="119" t="str">
        <f>IFERROR(IF(C57="Ingreso",VLOOKUP(B57,'MIS FINANZAS'!$B$7:$F$103,3,0),VLOOKUP(B57,'MIS FINANZAS'!$H$7:$L$103,3,0)),"")</f>
        <v/>
      </c>
      <c r="G57" s="196" t="str">
        <f>IF(D57="No tan necesario",VLOOKUP(B57,'OPORTUNIDADES DE MEJORA'!$AL$7:$AQ$103,6,0),IF(D57="No necesario",VLOOKUP(B57,'OPORTUNIDADES DE MEJORA'!$AL$7:$AQ$103,6,0),IF(D57="Necesario",VLOOKUP(B57,'MIS FINANZAS'!$H$7:$L$103,5,0),IF(C57="Ingreso",VLOOKUP(B57,'MIS FINANZAS'!$B$7:$F$103,5,0),""))))</f>
        <v/>
      </c>
      <c r="H57" s="17" t="str">
        <f t="shared" si="2"/>
        <v/>
      </c>
      <c r="I57" s="196" t="str">
        <f t="shared" si="3"/>
        <v/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>
        <v>51.0</v>
      </c>
      <c r="AB57" s="1" t="str">
        <f>IFERROR(IFERROR(VLOOKUP(AA57,'MIS FINANZAS'!$AQ$7:$AR$103,2,0),VLOOKUP(AA57,'MIS FINANZAS'!$AS$7:$AT$103,2,0)),"")</f>
        <v/>
      </c>
    </row>
    <row r="58" ht="15.75" customHeight="1">
      <c r="A58" s="1"/>
      <c r="B58" s="14" t="str">
        <f t="shared" si="1"/>
        <v/>
      </c>
      <c r="C58" s="119" t="str">
        <f>IF(B58="","",IF((IFERROR(MATCH(B58,'MIS FINANZAS'!$B$7:$B$103,0),0))&gt;0,"Ingreso","Gasto"))</f>
        <v/>
      </c>
      <c r="D58" s="119" t="str">
        <f>IFERROR(IF(C58="Ingreso",VLOOKUP(B58,'MIS FINANZAS'!$B$7:$F$103,2,0),VLOOKUP(B58,'MIS FINANZAS'!$H$7:$L$103,2,0)),"")</f>
        <v/>
      </c>
      <c r="E58" s="119" t="str">
        <f>IFERROR(IFERROR(VLOOKUP(B58,'MIS FINANZAS'!$B$7:$F$103,4,0),VLOOKUP(B58,'MIS FINANZAS'!$H$7:$L$103,4,0)),"")</f>
        <v/>
      </c>
      <c r="F58" s="119" t="str">
        <f>IFERROR(IF(C58="Ingreso",VLOOKUP(B58,'MIS FINANZAS'!$B$7:$F$103,3,0),VLOOKUP(B58,'MIS FINANZAS'!$H$7:$L$103,3,0)),"")</f>
        <v/>
      </c>
      <c r="G58" s="196" t="str">
        <f>IF(D58="No tan necesario",VLOOKUP(B58,'OPORTUNIDADES DE MEJORA'!$AL$7:$AQ$103,6,0),IF(D58="No necesario",VLOOKUP(B58,'OPORTUNIDADES DE MEJORA'!$AL$7:$AQ$103,6,0),IF(D58="Necesario",VLOOKUP(B58,'MIS FINANZAS'!$H$7:$L$103,5,0),IF(C58="Ingreso",VLOOKUP(B58,'MIS FINANZAS'!$B$7:$F$103,5,0),""))))</f>
        <v/>
      </c>
      <c r="H58" s="17" t="str">
        <f t="shared" si="2"/>
        <v/>
      </c>
      <c r="I58" s="196" t="str">
        <f t="shared" si="3"/>
        <v/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>
        <v>52.0</v>
      </c>
      <c r="AB58" s="1" t="str">
        <f>IFERROR(IFERROR(VLOOKUP(AA58,'MIS FINANZAS'!$AQ$7:$AR$103,2,0),VLOOKUP(AA58,'MIS FINANZAS'!$AS$7:$AT$103,2,0)),"")</f>
        <v/>
      </c>
    </row>
    <row r="59" ht="15.75" customHeight="1">
      <c r="A59" s="1"/>
      <c r="B59" s="14" t="str">
        <f t="shared" si="1"/>
        <v/>
      </c>
      <c r="C59" s="119" t="str">
        <f>IF(B59="","",IF((IFERROR(MATCH(B59,'MIS FINANZAS'!$B$7:$B$103,0),0))&gt;0,"Ingreso","Gasto"))</f>
        <v/>
      </c>
      <c r="D59" s="119" t="str">
        <f>IFERROR(IF(C59="Ingreso",VLOOKUP(B59,'MIS FINANZAS'!$B$7:$F$103,2,0),VLOOKUP(B59,'MIS FINANZAS'!$H$7:$L$103,2,0)),"")</f>
        <v/>
      </c>
      <c r="E59" s="119" t="str">
        <f>IFERROR(IFERROR(VLOOKUP(B59,'MIS FINANZAS'!$B$7:$F$103,4,0),VLOOKUP(B59,'MIS FINANZAS'!$H$7:$L$103,4,0)),"")</f>
        <v/>
      </c>
      <c r="F59" s="119" t="str">
        <f>IFERROR(IF(C59="Ingreso",VLOOKUP(B59,'MIS FINANZAS'!$B$7:$F$103,3,0),VLOOKUP(B59,'MIS FINANZAS'!$H$7:$L$103,3,0)),"")</f>
        <v/>
      </c>
      <c r="G59" s="196" t="str">
        <f>IF(D59="No tan necesario",VLOOKUP(B59,'OPORTUNIDADES DE MEJORA'!$AL$7:$AQ$103,6,0),IF(D59="No necesario",VLOOKUP(B59,'OPORTUNIDADES DE MEJORA'!$AL$7:$AQ$103,6,0),IF(D59="Necesario",VLOOKUP(B59,'MIS FINANZAS'!$H$7:$L$103,5,0),IF(C59="Ingreso",VLOOKUP(B59,'MIS FINANZAS'!$B$7:$F$103,5,0),""))))</f>
        <v/>
      </c>
      <c r="H59" s="17" t="str">
        <f t="shared" si="2"/>
        <v/>
      </c>
      <c r="I59" s="196" t="str">
        <f t="shared" si="3"/>
        <v/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>
        <v>53.0</v>
      </c>
      <c r="AB59" s="1" t="str">
        <f>IFERROR(IFERROR(VLOOKUP(AA59,'MIS FINANZAS'!$AQ$7:$AR$103,2,0),VLOOKUP(AA59,'MIS FINANZAS'!$AS$7:$AT$103,2,0)),"")</f>
        <v/>
      </c>
    </row>
    <row r="60" ht="15.75" customHeight="1">
      <c r="A60" s="1"/>
      <c r="B60" s="14" t="str">
        <f t="shared" si="1"/>
        <v/>
      </c>
      <c r="C60" s="119" t="str">
        <f>IF(B60="","",IF((IFERROR(MATCH(B60,'MIS FINANZAS'!$B$7:$B$103,0),0))&gt;0,"Ingreso","Gasto"))</f>
        <v/>
      </c>
      <c r="D60" s="119" t="str">
        <f>IFERROR(IF(C60="Ingreso",VLOOKUP(B60,'MIS FINANZAS'!$B$7:$F$103,2,0),VLOOKUP(B60,'MIS FINANZAS'!$H$7:$L$103,2,0)),"")</f>
        <v/>
      </c>
      <c r="E60" s="119" t="str">
        <f>IFERROR(IFERROR(VLOOKUP(B60,'MIS FINANZAS'!$B$7:$F$103,4,0),VLOOKUP(B60,'MIS FINANZAS'!$H$7:$L$103,4,0)),"")</f>
        <v/>
      </c>
      <c r="F60" s="119" t="str">
        <f>IFERROR(IF(C60="Ingreso",VLOOKUP(B60,'MIS FINANZAS'!$B$7:$F$103,3,0),VLOOKUP(B60,'MIS FINANZAS'!$H$7:$L$103,3,0)),"")</f>
        <v/>
      </c>
      <c r="G60" s="196" t="str">
        <f>IF(D60="No tan necesario",VLOOKUP(B60,'OPORTUNIDADES DE MEJORA'!$AL$7:$AQ$103,6,0),IF(D60="No necesario",VLOOKUP(B60,'OPORTUNIDADES DE MEJORA'!$AL$7:$AQ$103,6,0),IF(D60="Necesario",VLOOKUP(B60,'MIS FINANZAS'!$H$7:$L$103,5,0),IF(C60="Ingreso",VLOOKUP(B60,'MIS FINANZAS'!$B$7:$F$103,5,0),""))))</f>
        <v/>
      </c>
      <c r="H60" s="17" t="str">
        <f t="shared" si="2"/>
        <v/>
      </c>
      <c r="I60" s="196" t="str">
        <f t="shared" si="3"/>
        <v/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>
        <v>54.0</v>
      </c>
      <c r="AB60" s="1" t="str">
        <f>IFERROR(IFERROR(VLOOKUP(AA60,'MIS FINANZAS'!$AQ$7:$AR$103,2,0),VLOOKUP(AA60,'MIS FINANZAS'!$AS$7:$AT$103,2,0)),"")</f>
        <v/>
      </c>
    </row>
    <row r="61" ht="15.75" customHeight="1">
      <c r="A61" s="1"/>
      <c r="B61" s="14" t="str">
        <f t="shared" si="1"/>
        <v/>
      </c>
      <c r="C61" s="119" t="str">
        <f>IF(B61="","",IF((IFERROR(MATCH(B61,'MIS FINANZAS'!$B$7:$B$103,0),0))&gt;0,"Ingreso","Gasto"))</f>
        <v/>
      </c>
      <c r="D61" s="119" t="str">
        <f>IFERROR(IF(C61="Ingreso",VLOOKUP(B61,'MIS FINANZAS'!$B$7:$F$103,2,0),VLOOKUP(B61,'MIS FINANZAS'!$H$7:$L$103,2,0)),"")</f>
        <v/>
      </c>
      <c r="E61" s="119" t="str">
        <f>IFERROR(IFERROR(VLOOKUP(B61,'MIS FINANZAS'!$B$7:$F$103,4,0),VLOOKUP(B61,'MIS FINANZAS'!$H$7:$L$103,4,0)),"")</f>
        <v/>
      </c>
      <c r="F61" s="119" t="str">
        <f>IFERROR(IF(C61="Ingreso",VLOOKUP(B61,'MIS FINANZAS'!$B$7:$F$103,3,0),VLOOKUP(B61,'MIS FINANZAS'!$H$7:$L$103,3,0)),"")</f>
        <v/>
      </c>
      <c r="G61" s="196" t="str">
        <f>IF(D61="No tan necesario",VLOOKUP(B61,'OPORTUNIDADES DE MEJORA'!$AL$7:$AQ$103,6,0),IF(D61="No necesario",VLOOKUP(B61,'OPORTUNIDADES DE MEJORA'!$AL$7:$AQ$103,6,0),IF(D61="Necesario",VLOOKUP(B61,'MIS FINANZAS'!$H$7:$L$103,5,0),IF(C61="Ingreso",VLOOKUP(B61,'MIS FINANZAS'!$B$7:$F$103,5,0),""))))</f>
        <v/>
      </c>
      <c r="H61" s="17" t="str">
        <f t="shared" si="2"/>
        <v/>
      </c>
      <c r="I61" s="196" t="str">
        <f t="shared" si="3"/>
        <v/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>
        <v>55.0</v>
      </c>
      <c r="AB61" s="1" t="str">
        <f>IFERROR(IFERROR(VLOOKUP(AA61,'MIS FINANZAS'!$AQ$7:$AR$103,2,0),VLOOKUP(AA61,'MIS FINANZAS'!$AS$7:$AT$103,2,0)),"")</f>
        <v/>
      </c>
    </row>
    <row r="62" ht="15.75" customHeight="1">
      <c r="A62" s="1"/>
      <c r="B62" s="14" t="str">
        <f t="shared" si="1"/>
        <v/>
      </c>
      <c r="C62" s="119" t="str">
        <f>IF(B62="","",IF((IFERROR(MATCH(B62,'MIS FINANZAS'!$B$7:$B$103,0),0))&gt;0,"Ingreso","Gasto"))</f>
        <v/>
      </c>
      <c r="D62" s="119" t="str">
        <f>IFERROR(IF(C62="Ingreso",VLOOKUP(B62,'MIS FINANZAS'!$B$7:$F$103,2,0),VLOOKUP(B62,'MIS FINANZAS'!$H$7:$L$103,2,0)),"")</f>
        <v/>
      </c>
      <c r="E62" s="119" t="str">
        <f>IFERROR(IFERROR(VLOOKUP(B62,'MIS FINANZAS'!$B$7:$F$103,4,0),VLOOKUP(B62,'MIS FINANZAS'!$H$7:$L$103,4,0)),"")</f>
        <v/>
      </c>
      <c r="F62" s="119" t="str">
        <f>IFERROR(IF(C62="Ingreso",VLOOKUP(B62,'MIS FINANZAS'!$B$7:$F$103,3,0),VLOOKUP(B62,'MIS FINANZAS'!$H$7:$L$103,3,0)),"")</f>
        <v/>
      </c>
      <c r="G62" s="196" t="str">
        <f>IF(D62="No tan necesario",VLOOKUP(B62,'OPORTUNIDADES DE MEJORA'!$AL$7:$AQ$103,6,0),IF(D62="No necesario",VLOOKUP(B62,'OPORTUNIDADES DE MEJORA'!$AL$7:$AQ$103,6,0),IF(D62="Necesario",VLOOKUP(B62,'MIS FINANZAS'!$H$7:$L$103,5,0),IF(C62="Ingreso",VLOOKUP(B62,'MIS FINANZAS'!$B$7:$F$103,5,0),""))))</f>
        <v/>
      </c>
      <c r="H62" s="17" t="str">
        <f t="shared" si="2"/>
        <v/>
      </c>
      <c r="I62" s="196" t="str">
        <f t="shared" si="3"/>
        <v/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>
        <v>56.0</v>
      </c>
      <c r="AB62" s="1" t="str">
        <f>IFERROR(IFERROR(VLOOKUP(AA62,'MIS FINANZAS'!$AQ$7:$AR$103,2,0),VLOOKUP(AA62,'MIS FINANZAS'!$AS$7:$AT$103,2,0)),"")</f>
        <v/>
      </c>
    </row>
    <row r="63" ht="15.75" customHeight="1">
      <c r="A63" s="1"/>
      <c r="B63" s="14" t="str">
        <f t="shared" si="1"/>
        <v/>
      </c>
      <c r="C63" s="119" t="str">
        <f>IF(B63="","",IF((IFERROR(MATCH(B63,'MIS FINANZAS'!$B$7:$B$103,0),0))&gt;0,"Ingreso","Gasto"))</f>
        <v/>
      </c>
      <c r="D63" s="119" t="str">
        <f>IFERROR(IF(C63="Ingreso",VLOOKUP(B63,'MIS FINANZAS'!$B$7:$F$103,2,0),VLOOKUP(B63,'MIS FINANZAS'!$H$7:$L$103,2,0)),"")</f>
        <v/>
      </c>
      <c r="E63" s="119" t="str">
        <f>IFERROR(IFERROR(VLOOKUP(B63,'MIS FINANZAS'!$B$7:$F$103,4,0),VLOOKUP(B63,'MIS FINANZAS'!$H$7:$L$103,4,0)),"")</f>
        <v/>
      </c>
      <c r="F63" s="119" t="str">
        <f>IFERROR(IF(C63="Ingreso",VLOOKUP(B63,'MIS FINANZAS'!$B$7:$F$103,3,0),VLOOKUP(B63,'MIS FINANZAS'!$H$7:$L$103,3,0)),"")</f>
        <v/>
      </c>
      <c r="G63" s="196" t="str">
        <f>IF(D63="No tan necesario",VLOOKUP(B63,'OPORTUNIDADES DE MEJORA'!$AL$7:$AQ$103,6,0),IF(D63="No necesario",VLOOKUP(B63,'OPORTUNIDADES DE MEJORA'!$AL$7:$AQ$103,6,0),IF(D63="Necesario",VLOOKUP(B63,'MIS FINANZAS'!$H$7:$L$103,5,0),IF(C63="Ingreso",VLOOKUP(B63,'MIS FINANZAS'!$B$7:$F$103,5,0),""))))</f>
        <v/>
      </c>
      <c r="H63" s="17" t="str">
        <f t="shared" si="2"/>
        <v/>
      </c>
      <c r="I63" s="196" t="str">
        <f t="shared" si="3"/>
        <v/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>
        <v>57.0</v>
      </c>
      <c r="AB63" s="1" t="str">
        <f>IFERROR(IFERROR(VLOOKUP(AA63,'MIS FINANZAS'!$AQ$7:$AR$103,2,0),VLOOKUP(AA63,'MIS FINANZAS'!$AS$7:$AT$103,2,0)),"")</f>
        <v/>
      </c>
    </row>
    <row r="64" ht="15.75" customHeight="1">
      <c r="A64" s="1"/>
      <c r="B64" s="14" t="str">
        <f t="shared" si="1"/>
        <v/>
      </c>
      <c r="C64" s="119" t="str">
        <f>IF(B64="","",IF((IFERROR(MATCH(B64,'MIS FINANZAS'!$B$7:$B$103,0),0))&gt;0,"Ingreso","Gasto"))</f>
        <v/>
      </c>
      <c r="D64" s="119" t="str">
        <f>IFERROR(IF(C64="Ingreso",VLOOKUP(B64,'MIS FINANZAS'!$B$7:$F$103,2,0),VLOOKUP(B64,'MIS FINANZAS'!$H$7:$L$103,2,0)),"")</f>
        <v/>
      </c>
      <c r="E64" s="119" t="str">
        <f>IFERROR(IFERROR(VLOOKUP(B64,'MIS FINANZAS'!$B$7:$F$103,4,0),VLOOKUP(B64,'MIS FINANZAS'!$H$7:$L$103,4,0)),"")</f>
        <v/>
      </c>
      <c r="F64" s="119" t="str">
        <f>IFERROR(IF(C64="Ingreso",VLOOKUP(B64,'MIS FINANZAS'!$B$7:$F$103,3,0),VLOOKUP(B64,'MIS FINANZAS'!$H$7:$L$103,3,0)),"")</f>
        <v/>
      </c>
      <c r="G64" s="196" t="str">
        <f>IF(D64="No tan necesario",VLOOKUP(B64,'OPORTUNIDADES DE MEJORA'!$AL$7:$AQ$103,6,0),IF(D64="No necesario",VLOOKUP(B64,'OPORTUNIDADES DE MEJORA'!$AL$7:$AQ$103,6,0),IF(D64="Necesario",VLOOKUP(B64,'MIS FINANZAS'!$H$7:$L$103,5,0),IF(C64="Ingreso",VLOOKUP(B64,'MIS FINANZAS'!$B$7:$F$103,5,0),""))))</f>
        <v/>
      </c>
      <c r="H64" s="17" t="str">
        <f t="shared" si="2"/>
        <v/>
      </c>
      <c r="I64" s="196" t="str">
        <f t="shared" si="3"/>
        <v/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>
        <v>58.0</v>
      </c>
      <c r="AB64" s="1" t="str">
        <f>IFERROR(IFERROR(VLOOKUP(AA64,'MIS FINANZAS'!$AQ$7:$AR$103,2,0),VLOOKUP(AA64,'MIS FINANZAS'!$AS$7:$AT$103,2,0)),"")</f>
        <v/>
      </c>
    </row>
    <row r="65" ht="15.75" customHeight="1">
      <c r="A65" s="1"/>
      <c r="B65" s="14" t="str">
        <f t="shared" si="1"/>
        <v/>
      </c>
      <c r="C65" s="119" t="str">
        <f>IF(B65="","",IF((IFERROR(MATCH(B65,'MIS FINANZAS'!$B$7:$B$103,0),0))&gt;0,"Ingreso","Gasto"))</f>
        <v/>
      </c>
      <c r="D65" s="119" t="str">
        <f>IFERROR(IF(C65="Ingreso",VLOOKUP(B65,'MIS FINANZAS'!$B$7:$F$103,2,0),VLOOKUP(B65,'MIS FINANZAS'!$H$7:$L$103,2,0)),"")</f>
        <v/>
      </c>
      <c r="E65" s="119" t="str">
        <f>IFERROR(IFERROR(VLOOKUP(B65,'MIS FINANZAS'!$B$7:$F$103,4,0),VLOOKUP(B65,'MIS FINANZAS'!$H$7:$L$103,4,0)),"")</f>
        <v/>
      </c>
      <c r="F65" s="119" t="str">
        <f>IFERROR(IF(C65="Ingreso",VLOOKUP(B65,'MIS FINANZAS'!$B$7:$F$103,3,0),VLOOKUP(B65,'MIS FINANZAS'!$H$7:$L$103,3,0)),"")</f>
        <v/>
      </c>
      <c r="G65" s="196" t="str">
        <f>IF(D65="No tan necesario",VLOOKUP(B65,'OPORTUNIDADES DE MEJORA'!$AL$7:$AQ$103,6,0),IF(D65="No necesario",VLOOKUP(B65,'OPORTUNIDADES DE MEJORA'!$AL$7:$AQ$103,6,0),IF(D65="Necesario",VLOOKUP(B65,'MIS FINANZAS'!$H$7:$L$103,5,0),IF(C65="Ingreso",VLOOKUP(B65,'MIS FINANZAS'!$B$7:$F$103,5,0),""))))</f>
        <v/>
      </c>
      <c r="H65" s="17" t="str">
        <f t="shared" si="2"/>
        <v/>
      </c>
      <c r="I65" s="196" t="str">
        <f t="shared" si="3"/>
        <v/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>
        <v>59.0</v>
      </c>
      <c r="AB65" s="1" t="str">
        <f>IFERROR(IFERROR(VLOOKUP(AA65,'MIS FINANZAS'!$AQ$7:$AR$103,2,0),VLOOKUP(AA65,'MIS FINANZAS'!$AS$7:$AT$103,2,0)),"")</f>
        <v/>
      </c>
    </row>
    <row r="66" ht="15.75" customHeight="1">
      <c r="A66" s="1"/>
      <c r="B66" s="14" t="str">
        <f t="shared" si="1"/>
        <v/>
      </c>
      <c r="C66" s="119" t="str">
        <f>IF(B66="","",IF((IFERROR(MATCH(B66,'MIS FINANZAS'!$B$7:$B$103,0),0))&gt;0,"Ingreso","Gasto"))</f>
        <v/>
      </c>
      <c r="D66" s="119" t="str">
        <f>IFERROR(IF(C66="Ingreso",VLOOKUP(B66,'MIS FINANZAS'!$B$7:$F$103,2,0),VLOOKUP(B66,'MIS FINANZAS'!$H$7:$L$103,2,0)),"")</f>
        <v/>
      </c>
      <c r="E66" s="119" t="str">
        <f>IFERROR(IFERROR(VLOOKUP(B66,'MIS FINANZAS'!$B$7:$F$103,4,0),VLOOKUP(B66,'MIS FINANZAS'!$H$7:$L$103,4,0)),"")</f>
        <v/>
      </c>
      <c r="F66" s="119" t="str">
        <f>IFERROR(IF(C66="Ingreso",VLOOKUP(B66,'MIS FINANZAS'!$B$7:$F$103,3,0),VLOOKUP(B66,'MIS FINANZAS'!$H$7:$L$103,3,0)),"")</f>
        <v/>
      </c>
      <c r="G66" s="196" t="str">
        <f>IF(D66="No tan necesario",VLOOKUP(B66,'OPORTUNIDADES DE MEJORA'!$AL$7:$AQ$103,6,0),IF(D66="No necesario",VLOOKUP(B66,'OPORTUNIDADES DE MEJORA'!$AL$7:$AQ$103,6,0),IF(D66="Necesario",VLOOKUP(B66,'MIS FINANZAS'!$H$7:$L$103,5,0),IF(C66="Ingreso",VLOOKUP(B66,'MIS FINANZAS'!$B$7:$F$103,5,0),""))))</f>
        <v/>
      </c>
      <c r="H66" s="17" t="str">
        <f t="shared" si="2"/>
        <v/>
      </c>
      <c r="I66" s="196" t="str">
        <f t="shared" si="3"/>
        <v/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>
        <v>60.0</v>
      </c>
      <c r="AB66" s="1" t="str">
        <f>IFERROR(IFERROR(VLOOKUP(AA66,'MIS FINANZAS'!$AQ$7:$AR$103,2,0),VLOOKUP(AA66,'MIS FINANZAS'!$AS$7:$AT$103,2,0)),"")</f>
        <v/>
      </c>
    </row>
    <row r="67" ht="15.75" customHeight="1">
      <c r="A67" s="1"/>
      <c r="B67" s="14" t="str">
        <f t="shared" si="1"/>
        <v/>
      </c>
      <c r="C67" s="119" t="str">
        <f>IF(B67="","",IF((IFERROR(MATCH(B67,'MIS FINANZAS'!$B$7:$B$103,0),0))&gt;0,"Ingreso","Gasto"))</f>
        <v/>
      </c>
      <c r="D67" s="119" t="str">
        <f>IFERROR(IF(C67="Ingreso",VLOOKUP(B67,'MIS FINANZAS'!$B$7:$F$103,2,0),VLOOKUP(B67,'MIS FINANZAS'!$H$7:$L$103,2,0)),"")</f>
        <v/>
      </c>
      <c r="E67" s="119" t="str">
        <f>IFERROR(IFERROR(VLOOKUP(B67,'MIS FINANZAS'!$B$7:$F$103,4,0),VLOOKUP(B67,'MIS FINANZAS'!$H$7:$L$103,4,0)),"")</f>
        <v/>
      </c>
      <c r="F67" s="119" t="str">
        <f>IFERROR(IF(C67="Ingreso",VLOOKUP(B67,'MIS FINANZAS'!$B$7:$F$103,3,0),VLOOKUP(B67,'MIS FINANZAS'!$H$7:$L$103,3,0)),"")</f>
        <v/>
      </c>
      <c r="G67" s="196" t="str">
        <f>IF(D67="No tan necesario",VLOOKUP(B67,'OPORTUNIDADES DE MEJORA'!$AL$7:$AQ$103,6,0),IF(D67="No necesario",VLOOKUP(B67,'OPORTUNIDADES DE MEJORA'!$AL$7:$AQ$103,6,0),IF(D67="Necesario",VLOOKUP(B67,'MIS FINANZAS'!$H$7:$L$103,5,0),IF(C67="Ingreso",VLOOKUP(B67,'MIS FINANZAS'!$B$7:$F$103,5,0),""))))</f>
        <v/>
      </c>
      <c r="H67" s="17" t="str">
        <f t="shared" si="2"/>
        <v/>
      </c>
      <c r="I67" s="196" t="str">
        <f t="shared" si="3"/>
        <v/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>
        <v>61.0</v>
      </c>
      <c r="AB67" s="1" t="str">
        <f>IFERROR(IFERROR(VLOOKUP(AA67,'MIS FINANZAS'!$AQ$7:$AR$103,2,0),VLOOKUP(AA67,'MIS FINANZAS'!$AS$7:$AT$103,2,0)),"")</f>
        <v/>
      </c>
    </row>
    <row r="68" ht="15.75" customHeight="1">
      <c r="A68" s="1"/>
      <c r="B68" s="14" t="str">
        <f t="shared" si="1"/>
        <v/>
      </c>
      <c r="C68" s="119" t="str">
        <f>IF(B68="","",IF((IFERROR(MATCH(B68,'MIS FINANZAS'!$B$7:$B$103,0),0))&gt;0,"Ingreso","Gasto"))</f>
        <v/>
      </c>
      <c r="D68" s="119" t="str">
        <f>IFERROR(IF(C68="Ingreso",VLOOKUP(B68,'MIS FINANZAS'!$B$7:$F$103,2,0),VLOOKUP(B68,'MIS FINANZAS'!$H$7:$L$103,2,0)),"")</f>
        <v/>
      </c>
      <c r="E68" s="119" t="str">
        <f>IFERROR(IFERROR(VLOOKUP(B68,'MIS FINANZAS'!$B$7:$F$103,4,0),VLOOKUP(B68,'MIS FINANZAS'!$H$7:$L$103,4,0)),"")</f>
        <v/>
      </c>
      <c r="F68" s="119" t="str">
        <f>IFERROR(IF(C68="Ingreso",VLOOKUP(B68,'MIS FINANZAS'!$B$7:$F$103,3,0),VLOOKUP(B68,'MIS FINANZAS'!$H$7:$L$103,3,0)),"")</f>
        <v/>
      </c>
      <c r="G68" s="196" t="str">
        <f>IF(D68="No tan necesario",VLOOKUP(B68,'OPORTUNIDADES DE MEJORA'!$AL$7:$AQ$103,6,0),IF(D68="No necesario",VLOOKUP(B68,'OPORTUNIDADES DE MEJORA'!$AL$7:$AQ$103,6,0),IF(D68="Necesario",VLOOKUP(B68,'MIS FINANZAS'!$H$7:$L$103,5,0),IF(C68="Ingreso",VLOOKUP(B68,'MIS FINANZAS'!$B$7:$F$103,5,0),""))))</f>
        <v/>
      </c>
      <c r="H68" s="17" t="str">
        <f t="shared" si="2"/>
        <v/>
      </c>
      <c r="I68" s="196" t="str">
        <f t="shared" si="3"/>
        <v/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>
        <v>62.0</v>
      </c>
      <c r="AB68" s="1" t="str">
        <f>IFERROR(IFERROR(VLOOKUP(AA68,'MIS FINANZAS'!$AQ$7:$AR$103,2,0),VLOOKUP(AA68,'MIS FINANZAS'!$AS$7:$AT$103,2,0)),"")</f>
        <v/>
      </c>
    </row>
    <row r="69" ht="15.75" customHeight="1">
      <c r="A69" s="1"/>
      <c r="B69" s="14" t="str">
        <f t="shared" si="1"/>
        <v/>
      </c>
      <c r="C69" s="119" t="str">
        <f>IF(B69="","",IF((IFERROR(MATCH(B69,'MIS FINANZAS'!$B$7:$B$103,0),0))&gt;0,"Ingreso","Gasto"))</f>
        <v/>
      </c>
      <c r="D69" s="119" t="str">
        <f>IFERROR(IF(C69="Ingreso",VLOOKUP(B69,'MIS FINANZAS'!$B$7:$F$103,2,0),VLOOKUP(B69,'MIS FINANZAS'!$H$7:$L$103,2,0)),"")</f>
        <v/>
      </c>
      <c r="E69" s="119" t="str">
        <f>IFERROR(IFERROR(VLOOKUP(B69,'MIS FINANZAS'!$B$7:$F$103,4,0),VLOOKUP(B69,'MIS FINANZAS'!$H$7:$L$103,4,0)),"")</f>
        <v/>
      </c>
      <c r="F69" s="119" t="str">
        <f>IFERROR(IF(C69="Ingreso",VLOOKUP(B69,'MIS FINANZAS'!$B$7:$F$103,3,0),VLOOKUP(B69,'MIS FINANZAS'!$H$7:$L$103,3,0)),"")</f>
        <v/>
      </c>
      <c r="G69" s="196" t="str">
        <f>IF(D69="No tan necesario",VLOOKUP(B69,'OPORTUNIDADES DE MEJORA'!$AL$7:$AQ$103,6,0),IF(D69="No necesario",VLOOKUP(B69,'OPORTUNIDADES DE MEJORA'!$AL$7:$AQ$103,6,0),IF(D69="Necesario",VLOOKUP(B69,'MIS FINANZAS'!$H$7:$L$103,5,0),IF(C69="Ingreso",VLOOKUP(B69,'MIS FINANZAS'!$B$7:$F$103,5,0),""))))</f>
        <v/>
      </c>
      <c r="H69" s="17" t="str">
        <f t="shared" si="2"/>
        <v/>
      </c>
      <c r="I69" s="196" t="str">
        <f t="shared" si="3"/>
        <v/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>
        <v>63.0</v>
      </c>
      <c r="AB69" s="1" t="str">
        <f>IFERROR(IFERROR(VLOOKUP(AA69,'MIS FINANZAS'!$AQ$7:$AR$103,2,0),VLOOKUP(AA69,'MIS FINANZAS'!$AS$7:$AT$103,2,0)),"")</f>
        <v/>
      </c>
    </row>
    <row r="70" ht="15.75" customHeight="1">
      <c r="A70" s="1"/>
      <c r="B70" s="14" t="str">
        <f t="shared" si="1"/>
        <v/>
      </c>
      <c r="C70" s="119" t="str">
        <f>IF(B70="","",IF((IFERROR(MATCH(B70,'MIS FINANZAS'!$B$7:$B$103,0),0))&gt;0,"Ingreso","Gasto"))</f>
        <v/>
      </c>
      <c r="D70" s="119" t="str">
        <f>IFERROR(IF(C70="Ingreso",VLOOKUP(B70,'MIS FINANZAS'!$B$7:$F$103,2,0),VLOOKUP(B70,'MIS FINANZAS'!$H$7:$L$103,2,0)),"")</f>
        <v/>
      </c>
      <c r="E70" s="119" t="str">
        <f>IFERROR(IFERROR(VLOOKUP(B70,'MIS FINANZAS'!$B$7:$F$103,4,0),VLOOKUP(B70,'MIS FINANZAS'!$H$7:$L$103,4,0)),"")</f>
        <v/>
      </c>
      <c r="F70" s="119" t="str">
        <f>IFERROR(IF(C70="Ingreso",VLOOKUP(B70,'MIS FINANZAS'!$B$7:$F$103,3,0),VLOOKUP(B70,'MIS FINANZAS'!$H$7:$L$103,3,0)),"")</f>
        <v/>
      </c>
      <c r="G70" s="196" t="str">
        <f>IF(D70="No tan necesario",VLOOKUP(B70,'OPORTUNIDADES DE MEJORA'!$AL$7:$AQ$103,6,0),IF(D70="No necesario",VLOOKUP(B70,'OPORTUNIDADES DE MEJORA'!$AL$7:$AQ$103,6,0),IF(D70="Necesario",VLOOKUP(B70,'MIS FINANZAS'!$H$7:$L$103,5,0),IF(C70="Ingreso",VLOOKUP(B70,'MIS FINANZAS'!$B$7:$F$103,5,0),""))))</f>
        <v/>
      </c>
      <c r="H70" s="17" t="str">
        <f t="shared" si="2"/>
        <v/>
      </c>
      <c r="I70" s="196" t="str">
        <f t="shared" si="3"/>
        <v/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>
        <v>64.0</v>
      </c>
      <c r="AB70" s="1" t="str">
        <f>IFERROR(IFERROR(VLOOKUP(AA70,'MIS FINANZAS'!$AQ$7:$AR$103,2,0),VLOOKUP(AA70,'MIS FINANZAS'!$AS$7:$AT$103,2,0)),"")</f>
        <v/>
      </c>
    </row>
    <row r="71" ht="15.75" customHeight="1">
      <c r="A71" s="1"/>
      <c r="B71" s="14" t="str">
        <f t="shared" si="1"/>
        <v/>
      </c>
      <c r="C71" s="119" t="str">
        <f>IF(B71="","",IF((IFERROR(MATCH(B71,'MIS FINANZAS'!$B$7:$B$103,0),0))&gt;0,"Ingreso","Gasto"))</f>
        <v/>
      </c>
      <c r="D71" s="119" t="str">
        <f>IFERROR(IF(C71="Ingreso",VLOOKUP(B71,'MIS FINANZAS'!$B$7:$F$103,2,0),VLOOKUP(B71,'MIS FINANZAS'!$H$7:$L$103,2,0)),"")</f>
        <v/>
      </c>
      <c r="E71" s="119" t="str">
        <f>IFERROR(IFERROR(VLOOKUP(B71,'MIS FINANZAS'!$B$7:$F$103,4,0),VLOOKUP(B71,'MIS FINANZAS'!$H$7:$L$103,4,0)),"")</f>
        <v/>
      </c>
      <c r="F71" s="119" t="str">
        <f>IFERROR(IF(C71="Ingreso",VLOOKUP(B71,'MIS FINANZAS'!$B$7:$F$103,3,0),VLOOKUP(B71,'MIS FINANZAS'!$H$7:$L$103,3,0)),"")</f>
        <v/>
      </c>
      <c r="G71" s="196" t="str">
        <f>IF(D71="No tan necesario",VLOOKUP(B71,'OPORTUNIDADES DE MEJORA'!$AL$7:$AQ$103,6,0),IF(D71="No necesario",VLOOKUP(B71,'OPORTUNIDADES DE MEJORA'!$AL$7:$AQ$103,6,0),IF(D71="Necesario",VLOOKUP(B71,'MIS FINANZAS'!$H$7:$L$103,5,0),IF(C71="Ingreso",VLOOKUP(B71,'MIS FINANZAS'!$B$7:$F$103,5,0),""))))</f>
        <v/>
      </c>
      <c r="H71" s="17" t="str">
        <f t="shared" si="2"/>
        <v/>
      </c>
      <c r="I71" s="196" t="str">
        <f t="shared" si="3"/>
        <v/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>
        <v>65.0</v>
      </c>
      <c r="AB71" s="1" t="str">
        <f>IFERROR(IFERROR(VLOOKUP(AA71,'MIS FINANZAS'!$AQ$7:$AR$103,2,0),VLOOKUP(AA71,'MIS FINANZAS'!$AS$7:$AT$103,2,0)),"")</f>
        <v/>
      </c>
    </row>
    <row r="72" ht="15.75" customHeight="1">
      <c r="A72" s="1"/>
      <c r="B72" s="14" t="str">
        <f t="shared" si="1"/>
        <v/>
      </c>
      <c r="C72" s="119" t="str">
        <f>IF(B72="","",IF((IFERROR(MATCH(B72,'MIS FINANZAS'!$B$7:$B$103,0),0))&gt;0,"Ingreso","Gasto"))</f>
        <v/>
      </c>
      <c r="D72" s="119" t="str">
        <f>IFERROR(IF(C72="Ingreso",VLOOKUP(B72,'MIS FINANZAS'!$B$7:$F$103,2,0),VLOOKUP(B72,'MIS FINANZAS'!$H$7:$L$103,2,0)),"")</f>
        <v/>
      </c>
      <c r="E72" s="119" t="str">
        <f>IFERROR(IFERROR(VLOOKUP(B72,'MIS FINANZAS'!$B$7:$F$103,4,0),VLOOKUP(B72,'MIS FINANZAS'!$H$7:$L$103,4,0)),"")</f>
        <v/>
      </c>
      <c r="F72" s="119" t="str">
        <f>IFERROR(IF(C72="Ingreso",VLOOKUP(B72,'MIS FINANZAS'!$B$7:$F$103,3,0),VLOOKUP(B72,'MIS FINANZAS'!$H$7:$L$103,3,0)),"")</f>
        <v/>
      </c>
      <c r="G72" s="196" t="str">
        <f>IF(D72="No tan necesario",VLOOKUP(B72,'OPORTUNIDADES DE MEJORA'!$AL$7:$AQ$103,6,0),IF(D72="No necesario",VLOOKUP(B72,'OPORTUNIDADES DE MEJORA'!$AL$7:$AQ$103,6,0),IF(D72="Necesario",VLOOKUP(B72,'MIS FINANZAS'!$H$7:$L$103,5,0),IF(C72="Ingreso",VLOOKUP(B72,'MIS FINANZAS'!$B$7:$F$103,5,0),""))))</f>
        <v/>
      </c>
      <c r="H72" s="17" t="str">
        <f t="shared" si="2"/>
        <v/>
      </c>
      <c r="I72" s="196" t="str">
        <f t="shared" si="3"/>
        <v/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>
        <v>66.0</v>
      </c>
      <c r="AB72" s="1" t="str">
        <f>IFERROR(IFERROR(VLOOKUP(AA72,'MIS FINANZAS'!$AQ$7:$AR$103,2,0),VLOOKUP(AA72,'MIS FINANZAS'!$AS$7:$AT$103,2,0)),"")</f>
        <v/>
      </c>
    </row>
    <row r="73" ht="15.75" customHeight="1">
      <c r="A73" s="1"/>
      <c r="B73" s="14" t="str">
        <f t="shared" si="1"/>
        <v/>
      </c>
      <c r="C73" s="119" t="str">
        <f>IF(B73="","",IF((IFERROR(MATCH(B73,'MIS FINANZAS'!$B$7:$B$103,0),0))&gt;0,"Ingreso","Gasto"))</f>
        <v/>
      </c>
      <c r="D73" s="119" t="str">
        <f>IFERROR(IF(C73="Ingreso",VLOOKUP(B73,'MIS FINANZAS'!$B$7:$F$103,2,0),VLOOKUP(B73,'MIS FINANZAS'!$H$7:$L$103,2,0)),"")</f>
        <v/>
      </c>
      <c r="E73" s="119" t="str">
        <f>IFERROR(IFERROR(VLOOKUP(B73,'MIS FINANZAS'!$B$7:$F$103,4,0),VLOOKUP(B73,'MIS FINANZAS'!$H$7:$L$103,4,0)),"")</f>
        <v/>
      </c>
      <c r="F73" s="119" t="str">
        <f>IFERROR(IF(C73="Ingreso",VLOOKUP(B73,'MIS FINANZAS'!$B$7:$F$103,3,0),VLOOKUP(B73,'MIS FINANZAS'!$H$7:$L$103,3,0)),"")</f>
        <v/>
      </c>
      <c r="G73" s="196" t="str">
        <f>IF(D73="No tan necesario",VLOOKUP(B73,'OPORTUNIDADES DE MEJORA'!$AL$7:$AQ$103,6,0),IF(D73="No necesario",VLOOKUP(B73,'OPORTUNIDADES DE MEJORA'!$AL$7:$AQ$103,6,0),IF(D73="Necesario",VLOOKUP(B73,'MIS FINANZAS'!$H$7:$L$103,5,0),IF(C73="Ingreso",VLOOKUP(B73,'MIS FINANZAS'!$B$7:$F$103,5,0),""))))</f>
        <v/>
      </c>
      <c r="H73" s="17" t="str">
        <f t="shared" si="2"/>
        <v/>
      </c>
      <c r="I73" s="196" t="str">
        <f t="shared" si="3"/>
        <v/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>
        <v>67.0</v>
      </c>
      <c r="AB73" s="1" t="str">
        <f>IFERROR(IFERROR(VLOOKUP(AA73,'MIS FINANZAS'!$AQ$7:$AR$103,2,0),VLOOKUP(AA73,'MIS FINANZAS'!$AS$7:$AT$103,2,0)),"")</f>
        <v/>
      </c>
    </row>
    <row r="74" ht="15.75" customHeight="1">
      <c r="A74" s="1"/>
      <c r="B74" s="14" t="str">
        <f t="shared" si="1"/>
        <v/>
      </c>
      <c r="C74" s="119" t="str">
        <f>IF(B74="","",IF((IFERROR(MATCH(B74,'MIS FINANZAS'!$B$7:$B$103,0),0))&gt;0,"Ingreso","Gasto"))</f>
        <v/>
      </c>
      <c r="D74" s="119" t="str">
        <f>IFERROR(IF(C74="Ingreso",VLOOKUP(B74,'MIS FINANZAS'!$B$7:$F$103,2,0),VLOOKUP(B74,'MIS FINANZAS'!$H$7:$L$103,2,0)),"")</f>
        <v/>
      </c>
      <c r="E74" s="119" t="str">
        <f>IFERROR(IFERROR(VLOOKUP(B74,'MIS FINANZAS'!$B$7:$F$103,4,0),VLOOKUP(B74,'MIS FINANZAS'!$H$7:$L$103,4,0)),"")</f>
        <v/>
      </c>
      <c r="F74" s="119" t="str">
        <f>IFERROR(IF(C74="Ingreso",VLOOKUP(B74,'MIS FINANZAS'!$B$7:$F$103,3,0),VLOOKUP(B74,'MIS FINANZAS'!$H$7:$L$103,3,0)),"")</f>
        <v/>
      </c>
      <c r="G74" s="196" t="str">
        <f>IF(D74="No tan necesario",VLOOKUP(B74,'OPORTUNIDADES DE MEJORA'!$AL$7:$AQ$103,6,0),IF(D74="No necesario",VLOOKUP(B74,'OPORTUNIDADES DE MEJORA'!$AL$7:$AQ$103,6,0),IF(D74="Necesario",VLOOKUP(B74,'MIS FINANZAS'!$H$7:$L$103,5,0),IF(C74="Ingreso",VLOOKUP(B74,'MIS FINANZAS'!$B$7:$F$103,5,0),""))))</f>
        <v/>
      </c>
      <c r="H74" s="17" t="str">
        <f t="shared" si="2"/>
        <v/>
      </c>
      <c r="I74" s="196" t="str">
        <f t="shared" si="3"/>
        <v/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>
        <v>68.0</v>
      </c>
      <c r="AB74" s="1" t="str">
        <f>IFERROR(IFERROR(VLOOKUP(AA74,'MIS FINANZAS'!$AQ$7:$AR$103,2,0),VLOOKUP(AA74,'MIS FINANZAS'!$AS$7:$AT$103,2,0)),"")</f>
        <v/>
      </c>
    </row>
    <row r="75" ht="15.75" customHeight="1">
      <c r="A75" s="1"/>
      <c r="B75" s="14" t="str">
        <f t="shared" si="1"/>
        <v/>
      </c>
      <c r="C75" s="119" t="str">
        <f>IF(B75="","",IF((IFERROR(MATCH(B75,'MIS FINANZAS'!$B$7:$B$103,0),0))&gt;0,"Ingreso","Gasto"))</f>
        <v/>
      </c>
      <c r="D75" s="119" t="str">
        <f>IFERROR(IF(C75="Ingreso",VLOOKUP(B75,'MIS FINANZAS'!$B$7:$F$103,2,0),VLOOKUP(B75,'MIS FINANZAS'!$H$7:$L$103,2,0)),"")</f>
        <v/>
      </c>
      <c r="E75" s="119" t="str">
        <f>IFERROR(IFERROR(VLOOKUP(B75,'MIS FINANZAS'!$B$7:$F$103,4,0),VLOOKUP(B75,'MIS FINANZAS'!$H$7:$L$103,4,0)),"")</f>
        <v/>
      </c>
      <c r="F75" s="119" t="str">
        <f>IFERROR(IF(C75="Ingreso",VLOOKUP(B75,'MIS FINANZAS'!$B$7:$F$103,3,0),VLOOKUP(B75,'MIS FINANZAS'!$H$7:$L$103,3,0)),"")</f>
        <v/>
      </c>
      <c r="G75" s="196" t="str">
        <f>IF(D75="No tan necesario",VLOOKUP(B75,'OPORTUNIDADES DE MEJORA'!$AL$7:$AQ$103,6,0),IF(D75="No necesario",VLOOKUP(B75,'OPORTUNIDADES DE MEJORA'!$AL$7:$AQ$103,6,0),IF(D75="Necesario",VLOOKUP(B75,'MIS FINANZAS'!$H$7:$L$103,5,0),IF(C75="Ingreso",VLOOKUP(B75,'MIS FINANZAS'!$B$7:$F$103,5,0),""))))</f>
        <v/>
      </c>
      <c r="H75" s="17" t="str">
        <f t="shared" si="2"/>
        <v/>
      </c>
      <c r="I75" s="196" t="str">
        <f t="shared" si="3"/>
        <v/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>
        <v>69.0</v>
      </c>
      <c r="AB75" s="1" t="str">
        <f>IFERROR(IFERROR(VLOOKUP(AA75,'MIS FINANZAS'!$AQ$7:$AR$103,2,0),VLOOKUP(AA75,'MIS FINANZAS'!$AS$7:$AT$103,2,0)),"")</f>
        <v/>
      </c>
    </row>
    <row r="76" ht="15.75" customHeight="1">
      <c r="A76" s="1"/>
      <c r="B76" s="14" t="str">
        <f t="shared" si="1"/>
        <v/>
      </c>
      <c r="C76" s="119" t="str">
        <f>IF(B76="","",IF((IFERROR(MATCH(B76,'MIS FINANZAS'!$B$7:$B$103,0),0))&gt;0,"Ingreso","Gasto"))</f>
        <v/>
      </c>
      <c r="D76" s="119" t="str">
        <f>IFERROR(IF(C76="Ingreso",VLOOKUP(B76,'MIS FINANZAS'!$B$7:$F$103,2,0),VLOOKUP(B76,'MIS FINANZAS'!$H$7:$L$103,2,0)),"")</f>
        <v/>
      </c>
      <c r="E76" s="119" t="str">
        <f>IFERROR(IFERROR(VLOOKUP(B76,'MIS FINANZAS'!$B$7:$F$103,4,0),VLOOKUP(B76,'MIS FINANZAS'!$H$7:$L$103,4,0)),"")</f>
        <v/>
      </c>
      <c r="F76" s="119" t="str">
        <f>IFERROR(IF(C76="Ingreso",VLOOKUP(B76,'MIS FINANZAS'!$B$7:$F$103,3,0),VLOOKUP(B76,'MIS FINANZAS'!$H$7:$L$103,3,0)),"")</f>
        <v/>
      </c>
      <c r="G76" s="196" t="str">
        <f>IF(D76="No tan necesario",VLOOKUP(B76,'OPORTUNIDADES DE MEJORA'!$AL$7:$AQ$103,6,0),IF(D76="No necesario",VLOOKUP(B76,'OPORTUNIDADES DE MEJORA'!$AL$7:$AQ$103,6,0),IF(D76="Necesario",VLOOKUP(B76,'MIS FINANZAS'!$H$7:$L$103,5,0),IF(C76="Ingreso",VLOOKUP(B76,'MIS FINANZAS'!$B$7:$F$103,5,0),""))))</f>
        <v/>
      </c>
      <c r="H76" s="17" t="str">
        <f t="shared" si="2"/>
        <v/>
      </c>
      <c r="I76" s="196" t="str">
        <f t="shared" si="3"/>
        <v/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>
        <v>70.0</v>
      </c>
      <c r="AB76" s="1" t="str">
        <f>IFERROR(IFERROR(VLOOKUP(AA76,'MIS FINANZAS'!$AQ$7:$AR$103,2,0),VLOOKUP(AA76,'MIS FINANZAS'!$AS$7:$AT$103,2,0)),"")</f>
        <v/>
      </c>
    </row>
    <row r="77" ht="15.75" customHeight="1">
      <c r="A77" s="1"/>
      <c r="B77" s="14" t="str">
        <f t="shared" si="1"/>
        <v/>
      </c>
      <c r="C77" s="119" t="str">
        <f>IF(B77="","",IF((IFERROR(MATCH(B77,'MIS FINANZAS'!$B$7:$B$103,0),0))&gt;0,"Ingreso","Gasto"))</f>
        <v/>
      </c>
      <c r="D77" s="119" t="str">
        <f>IFERROR(IF(C77="Ingreso",VLOOKUP(B77,'MIS FINANZAS'!$B$7:$F$103,2,0),VLOOKUP(B77,'MIS FINANZAS'!$H$7:$L$103,2,0)),"")</f>
        <v/>
      </c>
      <c r="E77" s="119" t="str">
        <f>IFERROR(IFERROR(VLOOKUP(B77,'MIS FINANZAS'!$B$7:$F$103,4,0),VLOOKUP(B77,'MIS FINANZAS'!$H$7:$L$103,4,0)),"")</f>
        <v/>
      </c>
      <c r="F77" s="119" t="str">
        <f>IFERROR(IF(C77="Ingreso",VLOOKUP(B77,'MIS FINANZAS'!$B$7:$F$103,3,0),VLOOKUP(B77,'MIS FINANZAS'!$H$7:$L$103,3,0)),"")</f>
        <v/>
      </c>
      <c r="G77" s="196" t="str">
        <f>IF(D77="No tan necesario",VLOOKUP(B77,'OPORTUNIDADES DE MEJORA'!$AL$7:$AQ$103,6,0),IF(D77="No necesario",VLOOKUP(B77,'OPORTUNIDADES DE MEJORA'!$AL$7:$AQ$103,6,0),IF(D77="Necesario",VLOOKUP(B77,'MIS FINANZAS'!$H$7:$L$103,5,0),IF(C77="Ingreso",VLOOKUP(B77,'MIS FINANZAS'!$B$7:$F$103,5,0),""))))</f>
        <v/>
      </c>
      <c r="H77" s="17" t="str">
        <f t="shared" si="2"/>
        <v/>
      </c>
      <c r="I77" s="196" t="str">
        <f t="shared" si="3"/>
        <v/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>
        <v>71.0</v>
      </c>
      <c r="AB77" s="1" t="str">
        <f>IFERROR(IFERROR(VLOOKUP(AA77,'MIS FINANZAS'!$AQ$7:$AR$103,2,0),VLOOKUP(AA77,'MIS FINANZAS'!$AS$7:$AT$103,2,0)),"")</f>
        <v/>
      </c>
    </row>
    <row r="78" ht="15.75" customHeight="1">
      <c r="A78" s="1"/>
      <c r="B78" s="14" t="str">
        <f t="shared" si="1"/>
        <v/>
      </c>
      <c r="C78" s="119" t="str">
        <f>IF(B78="","",IF((IFERROR(MATCH(B78,'MIS FINANZAS'!$B$7:$B$103,0),0))&gt;0,"Ingreso","Gasto"))</f>
        <v/>
      </c>
      <c r="D78" s="119" t="str">
        <f>IFERROR(IF(C78="Ingreso",VLOOKUP(B78,'MIS FINANZAS'!$B$7:$F$103,2,0),VLOOKUP(B78,'MIS FINANZAS'!$H$7:$L$103,2,0)),"")</f>
        <v/>
      </c>
      <c r="E78" s="119" t="str">
        <f>IFERROR(IFERROR(VLOOKUP(B78,'MIS FINANZAS'!$B$7:$F$103,4,0),VLOOKUP(B78,'MIS FINANZAS'!$H$7:$L$103,4,0)),"")</f>
        <v/>
      </c>
      <c r="F78" s="119" t="str">
        <f>IFERROR(IF(C78="Ingreso",VLOOKUP(B78,'MIS FINANZAS'!$B$7:$F$103,3,0),VLOOKUP(B78,'MIS FINANZAS'!$H$7:$L$103,3,0)),"")</f>
        <v/>
      </c>
      <c r="G78" s="196" t="str">
        <f>IF(D78="No tan necesario",VLOOKUP(B78,'OPORTUNIDADES DE MEJORA'!$AL$7:$AQ$103,6,0),IF(D78="No necesario",VLOOKUP(B78,'OPORTUNIDADES DE MEJORA'!$AL$7:$AQ$103,6,0),IF(D78="Necesario",VLOOKUP(B78,'MIS FINANZAS'!$H$7:$L$103,5,0),IF(C78="Ingreso",VLOOKUP(B78,'MIS FINANZAS'!$B$7:$F$103,5,0),""))))</f>
        <v/>
      </c>
      <c r="H78" s="17" t="str">
        <f t="shared" si="2"/>
        <v/>
      </c>
      <c r="I78" s="196" t="str">
        <f t="shared" si="3"/>
        <v/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>
        <v>72.0</v>
      </c>
      <c r="AB78" s="1" t="str">
        <f>IFERROR(IFERROR(VLOOKUP(AA78,'MIS FINANZAS'!$AQ$7:$AR$103,2,0),VLOOKUP(AA78,'MIS FINANZAS'!$AS$7:$AT$103,2,0)),"")</f>
        <v/>
      </c>
    </row>
    <row r="79" ht="15.75" customHeight="1">
      <c r="A79" s="1"/>
      <c r="B79" s="14" t="str">
        <f t="shared" si="1"/>
        <v/>
      </c>
      <c r="C79" s="119" t="str">
        <f>IF(B79="","",IF((IFERROR(MATCH(B79,'MIS FINANZAS'!$B$7:$B$103,0),0))&gt;0,"Ingreso","Gasto"))</f>
        <v/>
      </c>
      <c r="D79" s="119" t="str">
        <f>IFERROR(IF(C79="Ingreso",VLOOKUP(B79,'MIS FINANZAS'!$B$7:$F$103,2,0),VLOOKUP(B79,'MIS FINANZAS'!$H$7:$L$103,2,0)),"")</f>
        <v/>
      </c>
      <c r="E79" s="119" t="str">
        <f>IFERROR(IFERROR(VLOOKUP(B79,'MIS FINANZAS'!$B$7:$F$103,4,0),VLOOKUP(B79,'MIS FINANZAS'!$H$7:$L$103,4,0)),"")</f>
        <v/>
      </c>
      <c r="F79" s="119" t="str">
        <f>IFERROR(IF(C79="Ingreso",VLOOKUP(B79,'MIS FINANZAS'!$B$7:$F$103,3,0),VLOOKUP(B79,'MIS FINANZAS'!$H$7:$L$103,3,0)),"")</f>
        <v/>
      </c>
      <c r="G79" s="196" t="str">
        <f>IF(D79="No tan necesario",VLOOKUP(B79,'OPORTUNIDADES DE MEJORA'!$AL$7:$AQ$103,6,0),IF(D79="No necesario",VLOOKUP(B79,'OPORTUNIDADES DE MEJORA'!$AL$7:$AQ$103,6,0),IF(D79="Necesario",VLOOKUP(B79,'MIS FINANZAS'!$H$7:$L$103,5,0),IF(C79="Ingreso",VLOOKUP(B79,'MIS FINANZAS'!$B$7:$F$103,5,0),""))))</f>
        <v/>
      </c>
      <c r="H79" s="17" t="str">
        <f t="shared" si="2"/>
        <v/>
      </c>
      <c r="I79" s="196" t="str">
        <f t="shared" si="3"/>
        <v/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>
        <v>73.0</v>
      </c>
      <c r="AB79" s="1" t="str">
        <f>IFERROR(IFERROR(VLOOKUP(AA79,'MIS FINANZAS'!$AQ$7:$AR$103,2,0),VLOOKUP(AA79,'MIS FINANZAS'!$AS$7:$AT$103,2,0)),"")</f>
        <v/>
      </c>
    </row>
    <row r="80" ht="15.75" customHeight="1">
      <c r="A80" s="1"/>
      <c r="B80" s="14" t="str">
        <f t="shared" si="1"/>
        <v/>
      </c>
      <c r="C80" s="119" t="str">
        <f>IF(B80="","",IF((IFERROR(MATCH(B80,'MIS FINANZAS'!$B$7:$B$103,0),0))&gt;0,"Ingreso","Gasto"))</f>
        <v/>
      </c>
      <c r="D80" s="119" t="str">
        <f>IFERROR(IF(C80="Ingreso",VLOOKUP(B80,'MIS FINANZAS'!$B$7:$F$103,2,0),VLOOKUP(B80,'MIS FINANZAS'!$H$7:$L$103,2,0)),"")</f>
        <v/>
      </c>
      <c r="E80" s="119" t="str">
        <f>IFERROR(IFERROR(VLOOKUP(B80,'MIS FINANZAS'!$B$7:$F$103,4,0),VLOOKUP(B80,'MIS FINANZAS'!$H$7:$L$103,4,0)),"")</f>
        <v/>
      </c>
      <c r="F80" s="119" t="str">
        <f>IFERROR(IF(C80="Ingreso",VLOOKUP(B80,'MIS FINANZAS'!$B$7:$F$103,3,0),VLOOKUP(B80,'MIS FINANZAS'!$H$7:$L$103,3,0)),"")</f>
        <v/>
      </c>
      <c r="G80" s="196" t="str">
        <f>IF(D80="No tan necesario",VLOOKUP(B80,'OPORTUNIDADES DE MEJORA'!$AL$7:$AQ$103,6,0),IF(D80="No necesario",VLOOKUP(B80,'OPORTUNIDADES DE MEJORA'!$AL$7:$AQ$103,6,0),IF(D80="Necesario",VLOOKUP(B80,'MIS FINANZAS'!$H$7:$L$103,5,0),IF(C80="Ingreso",VLOOKUP(B80,'MIS FINANZAS'!$B$7:$F$103,5,0),""))))</f>
        <v/>
      </c>
      <c r="H80" s="17" t="str">
        <f t="shared" si="2"/>
        <v/>
      </c>
      <c r="I80" s="196" t="str">
        <f t="shared" si="3"/>
        <v/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>
        <v>74.0</v>
      </c>
      <c r="AB80" s="1" t="str">
        <f>IFERROR(IFERROR(VLOOKUP(AA80,'MIS FINANZAS'!$AQ$7:$AR$103,2,0),VLOOKUP(AA80,'MIS FINANZAS'!$AS$7:$AT$103,2,0)),"")</f>
        <v/>
      </c>
    </row>
    <row r="81" ht="15.75" customHeight="1">
      <c r="A81" s="1"/>
      <c r="B81" s="14" t="str">
        <f t="shared" si="1"/>
        <v/>
      </c>
      <c r="C81" s="119" t="str">
        <f>IF(B81="","",IF((IFERROR(MATCH(B81,'MIS FINANZAS'!$B$7:$B$103,0),0))&gt;0,"Ingreso","Gasto"))</f>
        <v/>
      </c>
      <c r="D81" s="119" t="str">
        <f>IFERROR(IF(C81="Ingreso",VLOOKUP(B81,'MIS FINANZAS'!$B$7:$F$103,2,0),VLOOKUP(B81,'MIS FINANZAS'!$H$7:$L$103,2,0)),"")</f>
        <v/>
      </c>
      <c r="E81" s="119" t="str">
        <f>IFERROR(IFERROR(VLOOKUP(B81,'MIS FINANZAS'!$B$7:$F$103,4,0),VLOOKUP(B81,'MIS FINANZAS'!$H$7:$L$103,4,0)),"")</f>
        <v/>
      </c>
      <c r="F81" s="119" t="str">
        <f>IFERROR(IF(C81="Ingreso",VLOOKUP(B81,'MIS FINANZAS'!$B$7:$F$103,3,0),VLOOKUP(B81,'MIS FINANZAS'!$H$7:$L$103,3,0)),"")</f>
        <v/>
      </c>
      <c r="G81" s="196" t="str">
        <f>IF(D81="No tan necesario",VLOOKUP(B81,'OPORTUNIDADES DE MEJORA'!$AL$7:$AQ$103,6,0),IF(D81="No necesario",VLOOKUP(B81,'OPORTUNIDADES DE MEJORA'!$AL$7:$AQ$103,6,0),IF(D81="Necesario",VLOOKUP(B81,'MIS FINANZAS'!$H$7:$L$103,5,0),IF(C81="Ingreso",VLOOKUP(B81,'MIS FINANZAS'!$B$7:$F$103,5,0),""))))</f>
        <v/>
      </c>
      <c r="H81" s="17" t="str">
        <f t="shared" si="2"/>
        <v/>
      </c>
      <c r="I81" s="196" t="str">
        <f t="shared" si="3"/>
        <v/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>
        <v>75.0</v>
      </c>
      <c r="AB81" s="1" t="str">
        <f>IFERROR(IFERROR(VLOOKUP(AA81,'MIS FINANZAS'!$AQ$7:$AR$103,2,0),VLOOKUP(AA81,'MIS FINANZAS'!$AS$7:$AT$103,2,0)),"")</f>
        <v/>
      </c>
    </row>
    <row r="82" ht="15.75" customHeight="1">
      <c r="A82" s="1"/>
      <c r="B82" s="14" t="str">
        <f t="shared" si="1"/>
        <v/>
      </c>
      <c r="C82" s="119" t="str">
        <f>IF(B82="","",IF((IFERROR(MATCH(B82,'MIS FINANZAS'!$B$7:$B$103,0),0))&gt;0,"Ingreso","Gasto"))</f>
        <v/>
      </c>
      <c r="D82" s="119" t="str">
        <f>IFERROR(IF(C82="Ingreso",VLOOKUP(B82,'MIS FINANZAS'!$B$7:$F$103,2,0),VLOOKUP(B82,'MIS FINANZAS'!$H$7:$L$103,2,0)),"")</f>
        <v/>
      </c>
      <c r="E82" s="119" t="str">
        <f>IFERROR(IFERROR(VLOOKUP(B82,'MIS FINANZAS'!$B$7:$F$103,4,0),VLOOKUP(B82,'MIS FINANZAS'!$H$7:$L$103,4,0)),"")</f>
        <v/>
      </c>
      <c r="F82" s="119" t="str">
        <f>IFERROR(IF(C82="Ingreso",VLOOKUP(B82,'MIS FINANZAS'!$B$7:$F$103,3,0),VLOOKUP(B82,'MIS FINANZAS'!$H$7:$L$103,3,0)),"")</f>
        <v/>
      </c>
      <c r="G82" s="196" t="str">
        <f>IF(D82="No tan necesario",VLOOKUP(B82,'OPORTUNIDADES DE MEJORA'!$AL$7:$AQ$103,6,0),IF(D82="No necesario",VLOOKUP(B82,'OPORTUNIDADES DE MEJORA'!$AL$7:$AQ$103,6,0),IF(D82="Necesario",VLOOKUP(B82,'MIS FINANZAS'!$H$7:$L$103,5,0),IF(C82="Ingreso",VLOOKUP(B82,'MIS FINANZAS'!$B$7:$F$103,5,0),""))))</f>
        <v/>
      </c>
      <c r="H82" s="17" t="str">
        <f t="shared" si="2"/>
        <v/>
      </c>
      <c r="I82" s="196" t="str">
        <f t="shared" si="3"/>
        <v/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>
        <v>76.0</v>
      </c>
      <c r="AB82" s="1" t="str">
        <f>IFERROR(IFERROR(VLOOKUP(AA82,'MIS FINANZAS'!$AQ$7:$AR$103,2,0),VLOOKUP(AA82,'MIS FINANZAS'!$AS$7:$AT$103,2,0)),"")</f>
        <v/>
      </c>
    </row>
    <row r="83" ht="15.75" customHeight="1">
      <c r="A83" s="1"/>
      <c r="B83" s="14" t="str">
        <f t="shared" si="1"/>
        <v/>
      </c>
      <c r="C83" s="119" t="str">
        <f>IF(B83="","",IF((IFERROR(MATCH(B83,'MIS FINANZAS'!$B$7:$B$103,0),0))&gt;0,"Ingreso","Gasto"))</f>
        <v/>
      </c>
      <c r="D83" s="119" t="str">
        <f>IFERROR(IF(C83="Ingreso",VLOOKUP(B83,'MIS FINANZAS'!$B$7:$F$103,2,0),VLOOKUP(B83,'MIS FINANZAS'!$H$7:$L$103,2,0)),"")</f>
        <v/>
      </c>
      <c r="E83" s="119" t="str">
        <f>IFERROR(IFERROR(VLOOKUP(B83,'MIS FINANZAS'!$B$7:$F$103,4,0),VLOOKUP(B83,'MIS FINANZAS'!$H$7:$L$103,4,0)),"")</f>
        <v/>
      </c>
      <c r="F83" s="119" t="str">
        <f>IFERROR(IF(C83="Ingreso",VLOOKUP(B83,'MIS FINANZAS'!$B$7:$F$103,3,0),VLOOKUP(B83,'MIS FINANZAS'!$H$7:$L$103,3,0)),"")</f>
        <v/>
      </c>
      <c r="G83" s="196" t="str">
        <f>IF(D83="No tan necesario",VLOOKUP(B83,'OPORTUNIDADES DE MEJORA'!$AL$7:$AQ$103,6,0),IF(D83="No necesario",VLOOKUP(B83,'OPORTUNIDADES DE MEJORA'!$AL$7:$AQ$103,6,0),IF(D83="Necesario",VLOOKUP(B83,'MIS FINANZAS'!$H$7:$L$103,5,0),IF(C83="Ingreso",VLOOKUP(B83,'MIS FINANZAS'!$B$7:$F$103,5,0),""))))</f>
        <v/>
      </c>
      <c r="H83" s="17" t="str">
        <f t="shared" si="2"/>
        <v/>
      </c>
      <c r="I83" s="196" t="str">
        <f t="shared" si="3"/>
        <v/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>
        <v>77.0</v>
      </c>
      <c r="AB83" s="1" t="str">
        <f>IFERROR(IFERROR(VLOOKUP(AA83,'MIS FINANZAS'!$AQ$7:$AR$103,2,0),VLOOKUP(AA83,'MIS FINANZAS'!$AS$7:$AT$103,2,0)),"")</f>
        <v/>
      </c>
    </row>
    <row r="84" ht="15.75" customHeight="1">
      <c r="A84" s="1"/>
      <c r="B84" s="14" t="str">
        <f t="shared" si="1"/>
        <v/>
      </c>
      <c r="C84" s="119" t="str">
        <f>IF(B84="","",IF((IFERROR(MATCH(B84,'MIS FINANZAS'!$B$7:$B$103,0),0))&gt;0,"Ingreso","Gasto"))</f>
        <v/>
      </c>
      <c r="D84" s="119" t="str">
        <f>IFERROR(IF(C84="Ingreso",VLOOKUP(B84,'MIS FINANZAS'!$B$7:$F$103,2,0),VLOOKUP(B84,'MIS FINANZAS'!$H$7:$L$103,2,0)),"")</f>
        <v/>
      </c>
      <c r="E84" s="119" t="str">
        <f>IFERROR(IFERROR(VLOOKUP(B84,'MIS FINANZAS'!$B$7:$F$103,4,0),VLOOKUP(B84,'MIS FINANZAS'!$H$7:$L$103,4,0)),"")</f>
        <v/>
      </c>
      <c r="F84" s="119" t="str">
        <f>IFERROR(IF(C84="Ingreso",VLOOKUP(B84,'MIS FINANZAS'!$B$7:$F$103,3,0),VLOOKUP(B84,'MIS FINANZAS'!$H$7:$L$103,3,0)),"")</f>
        <v/>
      </c>
      <c r="G84" s="196" t="str">
        <f>IF(D84="No tan necesario",VLOOKUP(B84,'OPORTUNIDADES DE MEJORA'!$AL$7:$AQ$103,6,0),IF(D84="No necesario",VLOOKUP(B84,'OPORTUNIDADES DE MEJORA'!$AL$7:$AQ$103,6,0),IF(D84="Necesario",VLOOKUP(B84,'MIS FINANZAS'!$H$7:$L$103,5,0),IF(C84="Ingreso",VLOOKUP(B84,'MIS FINANZAS'!$B$7:$F$103,5,0),""))))</f>
        <v/>
      </c>
      <c r="H84" s="17" t="str">
        <f t="shared" si="2"/>
        <v/>
      </c>
      <c r="I84" s="196" t="str">
        <f t="shared" si="3"/>
        <v/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>
        <v>78.0</v>
      </c>
      <c r="AB84" s="1" t="str">
        <f>IFERROR(IFERROR(VLOOKUP(AA84,'MIS FINANZAS'!$AQ$7:$AR$103,2,0),VLOOKUP(AA84,'MIS FINANZAS'!$AS$7:$AT$103,2,0)),"")</f>
        <v/>
      </c>
    </row>
    <row r="85" ht="15.75" customHeight="1">
      <c r="A85" s="1"/>
      <c r="B85" s="14" t="str">
        <f t="shared" si="1"/>
        <v/>
      </c>
      <c r="C85" s="119" t="str">
        <f>IF(B85="","",IF((IFERROR(MATCH(B85,'MIS FINANZAS'!$B$7:$B$103,0),0))&gt;0,"Ingreso","Gasto"))</f>
        <v/>
      </c>
      <c r="D85" s="119" t="str">
        <f>IFERROR(IF(C85="Ingreso",VLOOKUP(B85,'MIS FINANZAS'!$B$7:$F$103,2,0),VLOOKUP(B85,'MIS FINANZAS'!$H$7:$L$103,2,0)),"")</f>
        <v/>
      </c>
      <c r="E85" s="119" t="str">
        <f>IFERROR(IFERROR(VLOOKUP(B85,'MIS FINANZAS'!$B$7:$F$103,4,0),VLOOKUP(B85,'MIS FINANZAS'!$H$7:$L$103,4,0)),"")</f>
        <v/>
      </c>
      <c r="F85" s="119" t="str">
        <f>IFERROR(IF(C85="Ingreso",VLOOKUP(B85,'MIS FINANZAS'!$B$7:$F$103,3,0),VLOOKUP(B85,'MIS FINANZAS'!$H$7:$L$103,3,0)),"")</f>
        <v/>
      </c>
      <c r="G85" s="196" t="str">
        <f>IF(D85="No tan necesario",VLOOKUP(B85,'OPORTUNIDADES DE MEJORA'!$AL$7:$AQ$103,6,0),IF(D85="No necesario",VLOOKUP(B85,'OPORTUNIDADES DE MEJORA'!$AL$7:$AQ$103,6,0),IF(D85="Necesario",VLOOKUP(B85,'MIS FINANZAS'!$H$7:$L$103,5,0),IF(C85="Ingreso",VLOOKUP(B85,'MIS FINANZAS'!$B$7:$F$103,5,0),""))))</f>
        <v/>
      </c>
      <c r="H85" s="17" t="str">
        <f t="shared" si="2"/>
        <v/>
      </c>
      <c r="I85" s="196" t="str">
        <f t="shared" si="3"/>
        <v/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>
        <v>79.0</v>
      </c>
      <c r="AB85" s="1" t="str">
        <f>IFERROR(IFERROR(VLOOKUP(AA85,'MIS FINANZAS'!$AQ$7:$AR$103,2,0),VLOOKUP(AA85,'MIS FINANZAS'!$AS$7:$AT$103,2,0)),"")</f>
        <v/>
      </c>
    </row>
    <row r="86" ht="15.75" customHeight="1">
      <c r="A86" s="1"/>
      <c r="B86" s="14" t="str">
        <f t="shared" si="1"/>
        <v/>
      </c>
      <c r="C86" s="119" t="str">
        <f>IF(B86="","",IF((IFERROR(MATCH(B86,'MIS FINANZAS'!$B$7:$B$103,0),0))&gt;0,"Ingreso","Gasto"))</f>
        <v/>
      </c>
      <c r="D86" s="119" t="str">
        <f>IFERROR(IF(C86="Ingreso",VLOOKUP(B86,'MIS FINANZAS'!$B$7:$F$103,2,0),VLOOKUP(B86,'MIS FINANZAS'!$H$7:$L$103,2,0)),"")</f>
        <v/>
      </c>
      <c r="E86" s="119" t="str">
        <f>IFERROR(IFERROR(VLOOKUP(B86,'MIS FINANZAS'!$B$7:$F$103,4,0),VLOOKUP(B86,'MIS FINANZAS'!$H$7:$L$103,4,0)),"")</f>
        <v/>
      </c>
      <c r="F86" s="119" t="str">
        <f>IFERROR(IF(C86="Ingreso",VLOOKUP(B86,'MIS FINANZAS'!$B$7:$F$103,3,0),VLOOKUP(B86,'MIS FINANZAS'!$H$7:$L$103,3,0)),"")</f>
        <v/>
      </c>
      <c r="G86" s="196" t="str">
        <f>IF(D86="No tan necesario",VLOOKUP(B86,'OPORTUNIDADES DE MEJORA'!$AL$7:$AQ$103,6,0),IF(D86="No necesario",VLOOKUP(B86,'OPORTUNIDADES DE MEJORA'!$AL$7:$AQ$103,6,0),IF(D86="Necesario",VLOOKUP(B86,'MIS FINANZAS'!$H$7:$L$103,5,0),IF(C86="Ingreso",VLOOKUP(B86,'MIS FINANZAS'!$B$7:$F$103,5,0),""))))</f>
        <v/>
      </c>
      <c r="H86" s="17" t="str">
        <f t="shared" si="2"/>
        <v/>
      </c>
      <c r="I86" s="196" t="str">
        <f t="shared" si="3"/>
        <v/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>
        <v>80.0</v>
      </c>
      <c r="AB86" s="1" t="str">
        <f>IFERROR(IFERROR(VLOOKUP(AA86,'MIS FINANZAS'!$AQ$7:$AR$103,2,0),VLOOKUP(AA86,'MIS FINANZAS'!$AS$7:$AT$103,2,0)),"")</f>
        <v/>
      </c>
    </row>
    <row r="87" ht="15.75" customHeight="1">
      <c r="A87" s="1"/>
      <c r="B87" s="14" t="str">
        <f t="shared" si="1"/>
        <v/>
      </c>
      <c r="C87" s="119" t="str">
        <f>IF(B87="","",IF((IFERROR(MATCH(B87,'MIS FINANZAS'!$B$7:$B$103,0),0))&gt;0,"Ingreso","Gasto"))</f>
        <v/>
      </c>
      <c r="D87" s="119" t="str">
        <f>IFERROR(IF(C87="Ingreso",VLOOKUP(B87,'MIS FINANZAS'!$B$7:$F$103,2,0),VLOOKUP(B87,'MIS FINANZAS'!$H$7:$L$103,2,0)),"")</f>
        <v/>
      </c>
      <c r="E87" s="119" t="str">
        <f>IFERROR(IFERROR(VLOOKUP(B87,'MIS FINANZAS'!$B$7:$F$103,4,0),VLOOKUP(B87,'MIS FINANZAS'!$H$7:$L$103,4,0)),"")</f>
        <v/>
      </c>
      <c r="F87" s="119" t="str">
        <f>IFERROR(IF(C87="Ingreso",VLOOKUP(B87,'MIS FINANZAS'!$B$7:$F$103,3,0),VLOOKUP(B87,'MIS FINANZAS'!$H$7:$L$103,3,0)),"")</f>
        <v/>
      </c>
      <c r="G87" s="196" t="str">
        <f>IF(D87="No tan necesario",VLOOKUP(B87,'OPORTUNIDADES DE MEJORA'!$AL$7:$AQ$103,6,0),IF(D87="No necesario",VLOOKUP(B87,'OPORTUNIDADES DE MEJORA'!$AL$7:$AQ$103,6,0),IF(D87="Necesario",VLOOKUP(B87,'MIS FINANZAS'!$H$7:$L$103,5,0),IF(C87="Ingreso",VLOOKUP(B87,'MIS FINANZAS'!$B$7:$F$103,5,0),""))))</f>
        <v/>
      </c>
      <c r="H87" s="17" t="str">
        <f t="shared" si="2"/>
        <v/>
      </c>
      <c r="I87" s="196" t="str">
        <f t="shared" si="3"/>
        <v/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>
        <v>81.0</v>
      </c>
      <c r="AB87" s="1" t="str">
        <f>IFERROR(IFERROR(VLOOKUP(AA87,'MIS FINANZAS'!$AQ$7:$AR$103,2,0),VLOOKUP(AA87,'MIS FINANZAS'!$AS$7:$AT$103,2,0)),"")</f>
        <v/>
      </c>
    </row>
    <row r="88" ht="15.75" customHeight="1">
      <c r="A88" s="1"/>
      <c r="B88" s="14" t="str">
        <f t="shared" si="1"/>
        <v/>
      </c>
      <c r="C88" s="119" t="str">
        <f>IF(B88="","",IF((IFERROR(MATCH(B88,'MIS FINANZAS'!$B$7:$B$103,0),0))&gt;0,"Ingreso","Gasto"))</f>
        <v/>
      </c>
      <c r="D88" s="119" t="str">
        <f>IFERROR(IF(C88="Ingreso",VLOOKUP(B88,'MIS FINANZAS'!$B$7:$F$103,2,0),VLOOKUP(B88,'MIS FINANZAS'!$H$7:$L$103,2,0)),"")</f>
        <v/>
      </c>
      <c r="E88" s="119" t="str">
        <f>IFERROR(IFERROR(VLOOKUP(B88,'MIS FINANZAS'!$B$7:$F$103,4,0),VLOOKUP(B88,'MIS FINANZAS'!$H$7:$L$103,4,0)),"")</f>
        <v/>
      </c>
      <c r="F88" s="119" t="str">
        <f>IFERROR(IF(C88="Ingreso",VLOOKUP(B88,'MIS FINANZAS'!$B$7:$F$103,3,0),VLOOKUP(B88,'MIS FINANZAS'!$H$7:$L$103,3,0)),"")</f>
        <v/>
      </c>
      <c r="G88" s="196" t="str">
        <f>IF(D88="No tan necesario",VLOOKUP(B88,'OPORTUNIDADES DE MEJORA'!$AL$7:$AQ$103,6,0),IF(D88="No necesario",VLOOKUP(B88,'OPORTUNIDADES DE MEJORA'!$AL$7:$AQ$103,6,0),IF(D88="Necesario",VLOOKUP(B88,'MIS FINANZAS'!$H$7:$L$103,5,0),IF(C88="Ingreso",VLOOKUP(B88,'MIS FINANZAS'!$B$7:$F$103,5,0),""))))</f>
        <v/>
      </c>
      <c r="H88" s="17" t="str">
        <f t="shared" si="2"/>
        <v/>
      </c>
      <c r="I88" s="196" t="str">
        <f t="shared" si="3"/>
        <v/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>
        <v>82.0</v>
      </c>
      <c r="AB88" s="1" t="str">
        <f>IFERROR(IFERROR(VLOOKUP(AA88,'MIS FINANZAS'!$AQ$7:$AR$103,2,0),VLOOKUP(AA88,'MIS FINANZAS'!$AS$7:$AT$103,2,0)),"")</f>
        <v/>
      </c>
    </row>
    <row r="89" ht="15.75" customHeight="1">
      <c r="A89" s="1"/>
      <c r="B89" s="14" t="str">
        <f t="shared" si="1"/>
        <v/>
      </c>
      <c r="C89" s="119" t="str">
        <f>IF(B89="","",IF((IFERROR(MATCH(B89,'MIS FINANZAS'!$B$7:$B$103,0),0))&gt;0,"Ingreso","Gasto"))</f>
        <v/>
      </c>
      <c r="D89" s="119" t="str">
        <f>IFERROR(IF(C89="Ingreso",VLOOKUP(B89,'MIS FINANZAS'!$B$7:$F$103,2,0),VLOOKUP(B89,'MIS FINANZAS'!$H$7:$L$103,2,0)),"")</f>
        <v/>
      </c>
      <c r="E89" s="119" t="str">
        <f>IFERROR(IFERROR(VLOOKUP(B89,'MIS FINANZAS'!$B$7:$F$103,4,0),VLOOKUP(B89,'MIS FINANZAS'!$H$7:$L$103,4,0)),"")</f>
        <v/>
      </c>
      <c r="F89" s="119" t="str">
        <f>IFERROR(IF(C89="Ingreso",VLOOKUP(B89,'MIS FINANZAS'!$B$7:$F$103,3,0),VLOOKUP(B89,'MIS FINANZAS'!$H$7:$L$103,3,0)),"")</f>
        <v/>
      </c>
      <c r="G89" s="196" t="str">
        <f>IF(D89="No tan necesario",VLOOKUP(B89,'OPORTUNIDADES DE MEJORA'!$AL$7:$AQ$103,6,0),IF(D89="No necesario",VLOOKUP(B89,'OPORTUNIDADES DE MEJORA'!$AL$7:$AQ$103,6,0),IF(D89="Necesario",VLOOKUP(B89,'MIS FINANZAS'!$H$7:$L$103,5,0),IF(C89="Ingreso",VLOOKUP(B89,'MIS FINANZAS'!$B$7:$F$103,5,0),""))))</f>
        <v/>
      </c>
      <c r="H89" s="17" t="str">
        <f t="shared" si="2"/>
        <v/>
      </c>
      <c r="I89" s="196" t="str">
        <f t="shared" si="3"/>
        <v/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>
        <v>83.0</v>
      </c>
      <c r="AB89" s="1" t="str">
        <f>IFERROR(IFERROR(VLOOKUP(AA89,'MIS FINANZAS'!$AQ$7:$AR$103,2,0),VLOOKUP(AA89,'MIS FINANZAS'!$AS$7:$AT$103,2,0)),"")</f>
        <v/>
      </c>
    </row>
    <row r="90" ht="15.75" customHeight="1">
      <c r="A90" s="1"/>
      <c r="B90" s="14" t="str">
        <f t="shared" si="1"/>
        <v/>
      </c>
      <c r="C90" s="119" t="str">
        <f>IF(B90="","",IF((IFERROR(MATCH(B90,'MIS FINANZAS'!$B$7:$B$103,0),0))&gt;0,"Ingreso","Gasto"))</f>
        <v/>
      </c>
      <c r="D90" s="119" t="str">
        <f>IFERROR(IF(C90="Ingreso",VLOOKUP(B90,'MIS FINANZAS'!$B$7:$F$103,2,0),VLOOKUP(B90,'MIS FINANZAS'!$H$7:$L$103,2,0)),"")</f>
        <v/>
      </c>
      <c r="E90" s="119" t="str">
        <f>IFERROR(IFERROR(VLOOKUP(B90,'MIS FINANZAS'!$B$7:$F$103,4,0),VLOOKUP(B90,'MIS FINANZAS'!$H$7:$L$103,4,0)),"")</f>
        <v/>
      </c>
      <c r="F90" s="119" t="str">
        <f>IFERROR(IF(C90="Ingreso",VLOOKUP(B90,'MIS FINANZAS'!$B$7:$F$103,3,0),VLOOKUP(B90,'MIS FINANZAS'!$H$7:$L$103,3,0)),"")</f>
        <v/>
      </c>
      <c r="G90" s="196" t="str">
        <f>IF(D90="No tan necesario",VLOOKUP(B90,'OPORTUNIDADES DE MEJORA'!$AL$7:$AQ$103,6,0),IF(D90="No necesario",VLOOKUP(B90,'OPORTUNIDADES DE MEJORA'!$AL$7:$AQ$103,6,0),IF(D90="Necesario",VLOOKUP(B90,'MIS FINANZAS'!$H$7:$L$103,5,0),IF(C90="Ingreso",VLOOKUP(B90,'MIS FINANZAS'!$B$7:$F$103,5,0),""))))</f>
        <v/>
      </c>
      <c r="H90" s="17" t="str">
        <f t="shared" si="2"/>
        <v/>
      </c>
      <c r="I90" s="196" t="str">
        <f t="shared" si="3"/>
        <v/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>
        <v>84.0</v>
      </c>
      <c r="AB90" s="1" t="str">
        <f>IFERROR(IFERROR(VLOOKUP(AA90,'MIS FINANZAS'!$AQ$7:$AR$103,2,0),VLOOKUP(AA90,'MIS FINANZAS'!$AS$7:$AT$103,2,0)),"")</f>
        <v/>
      </c>
    </row>
    <row r="91" ht="15.75" customHeight="1">
      <c r="A91" s="1"/>
      <c r="B91" s="14" t="str">
        <f t="shared" si="1"/>
        <v/>
      </c>
      <c r="C91" s="119" t="str">
        <f>IF(B91="","",IF((IFERROR(MATCH(B91,'MIS FINANZAS'!$B$7:$B$103,0),0))&gt;0,"Ingreso","Gasto"))</f>
        <v/>
      </c>
      <c r="D91" s="119" t="str">
        <f>IFERROR(IF(C91="Ingreso",VLOOKUP(B91,'MIS FINANZAS'!$B$7:$F$103,2,0),VLOOKUP(B91,'MIS FINANZAS'!$H$7:$L$103,2,0)),"")</f>
        <v/>
      </c>
      <c r="E91" s="119" t="str">
        <f>IFERROR(IFERROR(VLOOKUP(B91,'MIS FINANZAS'!$B$7:$F$103,4,0),VLOOKUP(B91,'MIS FINANZAS'!$H$7:$L$103,4,0)),"")</f>
        <v/>
      </c>
      <c r="F91" s="119" t="str">
        <f>IFERROR(IF(C91="Ingreso",VLOOKUP(B91,'MIS FINANZAS'!$B$7:$F$103,3,0),VLOOKUP(B91,'MIS FINANZAS'!$H$7:$L$103,3,0)),"")</f>
        <v/>
      </c>
      <c r="G91" s="196" t="str">
        <f>IF(D91="No tan necesario",VLOOKUP(B91,'OPORTUNIDADES DE MEJORA'!$AL$7:$AQ$103,6,0),IF(D91="No necesario",VLOOKUP(B91,'OPORTUNIDADES DE MEJORA'!$AL$7:$AQ$103,6,0),IF(D91="Necesario",VLOOKUP(B91,'MIS FINANZAS'!$H$7:$L$103,5,0),IF(C91="Ingreso",VLOOKUP(B91,'MIS FINANZAS'!$B$7:$F$103,5,0),""))))</f>
        <v/>
      </c>
      <c r="H91" s="17" t="str">
        <f t="shared" si="2"/>
        <v/>
      </c>
      <c r="I91" s="196" t="str">
        <f t="shared" si="3"/>
        <v/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>
        <v>85.0</v>
      </c>
      <c r="AB91" s="1" t="str">
        <f>IFERROR(IFERROR(VLOOKUP(AA91,'MIS FINANZAS'!$AQ$7:$AR$103,2,0),VLOOKUP(AA91,'MIS FINANZAS'!$AS$7:$AT$103,2,0)),"")</f>
        <v/>
      </c>
    </row>
    <row r="92" ht="15.75" customHeight="1">
      <c r="A92" s="1"/>
      <c r="B92" s="14" t="str">
        <f t="shared" si="1"/>
        <v/>
      </c>
      <c r="C92" s="119" t="str">
        <f>IF(B92="","",IF((IFERROR(MATCH(B92,'MIS FINANZAS'!$B$7:$B$103,0),0))&gt;0,"Ingreso","Gasto"))</f>
        <v/>
      </c>
      <c r="D92" s="119" t="str">
        <f>IFERROR(IF(C92="Ingreso",VLOOKUP(B92,'MIS FINANZAS'!$B$7:$F$103,2,0),VLOOKUP(B92,'MIS FINANZAS'!$H$7:$L$103,2,0)),"")</f>
        <v/>
      </c>
      <c r="E92" s="119" t="str">
        <f>IFERROR(IFERROR(VLOOKUP(B92,'MIS FINANZAS'!$B$7:$F$103,4,0),VLOOKUP(B92,'MIS FINANZAS'!$H$7:$L$103,4,0)),"")</f>
        <v/>
      </c>
      <c r="F92" s="119" t="str">
        <f>IFERROR(IF(C92="Ingreso",VLOOKUP(B92,'MIS FINANZAS'!$B$7:$F$103,3,0),VLOOKUP(B92,'MIS FINANZAS'!$H$7:$L$103,3,0)),"")</f>
        <v/>
      </c>
      <c r="G92" s="196" t="str">
        <f>IF(D92="No tan necesario",VLOOKUP(B92,'OPORTUNIDADES DE MEJORA'!$AL$7:$AQ$103,6,0),IF(D92="No necesario",VLOOKUP(B92,'OPORTUNIDADES DE MEJORA'!$AL$7:$AQ$103,6,0),IF(D92="Necesario",VLOOKUP(B92,'MIS FINANZAS'!$H$7:$L$103,5,0),IF(C92="Ingreso",VLOOKUP(B92,'MIS FINANZAS'!$B$7:$F$103,5,0),""))))</f>
        <v/>
      </c>
      <c r="H92" s="17" t="str">
        <f t="shared" si="2"/>
        <v/>
      </c>
      <c r="I92" s="196" t="str">
        <f t="shared" si="3"/>
        <v/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>
        <v>86.0</v>
      </c>
      <c r="AB92" s="1" t="str">
        <f>IFERROR(IFERROR(VLOOKUP(AA92,'MIS FINANZAS'!$AQ$7:$AR$103,2,0),VLOOKUP(AA92,'MIS FINANZAS'!$AS$7:$AT$103,2,0)),"")</f>
        <v/>
      </c>
    </row>
    <row r="93" ht="15.75" customHeight="1">
      <c r="A93" s="1"/>
      <c r="B93" s="14" t="str">
        <f t="shared" si="1"/>
        <v/>
      </c>
      <c r="C93" s="119" t="str">
        <f>IF(B93="","",IF((IFERROR(MATCH(B93,'MIS FINANZAS'!$B$7:$B$103,0),0))&gt;0,"Ingreso","Gasto"))</f>
        <v/>
      </c>
      <c r="D93" s="119" t="str">
        <f>IFERROR(IF(C93="Ingreso",VLOOKUP(B93,'MIS FINANZAS'!$B$7:$F$103,2,0),VLOOKUP(B93,'MIS FINANZAS'!$H$7:$L$103,2,0)),"")</f>
        <v/>
      </c>
      <c r="E93" s="119" t="str">
        <f>IFERROR(IFERROR(VLOOKUP(B93,'MIS FINANZAS'!$B$7:$F$103,4,0),VLOOKUP(B93,'MIS FINANZAS'!$H$7:$L$103,4,0)),"")</f>
        <v/>
      </c>
      <c r="F93" s="119" t="str">
        <f>IFERROR(IF(C93="Ingreso",VLOOKUP(B93,'MIS FINANZAS'!$B$7:$F$103,3,0),VLOOKUP(B93,'MIS FINANZAS'!$H$7:$L$103,3,0)),"")</f>
        <v/>
      </c>
      <c r="G93" s="196" t="str">
        <f>IF(D93="No tan necesario",VLOOKUP(B93,'OPORTUNIDADES DE MEJORA'!$AL$7:$AQ$103,6,0),IF(D93="No necesario",VLOOKUP(B93,'OPORTUNIDADES DE MEJORA'!$AL$7:$AQ$103,6,0),IF(D93="Necesario",VLOOKUP(B93,'MIS FINANZAS'!$H$7:$L$103,5,0),IF(C93="Ingreso",VLOOKUP(B93,'MIS FINANZAS'!$B$7:$F$103,5,0),""))))</f>
        <v/>
      </c>
      <c r="H93" s="17" t="str">
        <f t="shared" si="2"/>
        <v/>
      </c>
      <c r="I93" s="196" t="str">
        <f t="shared" si="3"/>
        <v/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>
        <v>87.0</v>
      </c>
      <c r="AB93" s="1" t="str">
        <f>IFERROR(IFERROR(VLOOKUP(AA93,'MIS FINANZAS'!$AQ$7:$AR$103,2,0),VLOOKUP(AA93,'MIS FINANZAS'!$AS$7:$AT$103,2,0)),"")</f>
        <v/>
      </c>
    </row>
    <row r="94" ht="15.75" customHeight="1">
      <c r="A94" s="1"/>
      <c r="B94" s="14" t="str">
        <f t="shared" si="1"/>
        <v/>
      </c>
      <c r="C94" s="119" t="str">
        <f>IF(B94="","",IF((IFERROR(MATCH(B94,'MIS FINANZAS'!$B$7:$B$103,0),0))&gt;0,"Ingreso","Gasto"))</f>
        <v/>
      </c>
      <c r="D94" s="119" t="str">
        <f>IFERROR(IF(C94="Ingreso",VLOOKUP(B94,'MIS FINANZAS'!$B$7:$F$103,2,0),VLOOKUP(B94,'MIS FINANZAS'!$H$7:$L$103,2,0)),"")</f>
        <v/>
      </c>
      <c r="E94" s="119" t="str">
        <f>IFERROR(IFERROR(VLOOKUP(B94,'MIS FINANZAS'!$B$7:$F$103,4,0),VLOOKUP(B94,'MIS FINANZAS'!$H$7:$L$103,4,0)),"")</f>
        <v/>
      </c>
      <c r="F94" s="119" t="str">
        <f>IFERROR(IF(C94="Ingreso",VLOOKUP(B94,'MIS FINANZAS'!$B$7:$F$103,3,0),VLOOKUP(B94,'MIS FINANZAS'!$H$7:$L$103,3,0)),"")</f>
        <v/>
      </c>
      <c r="G94" s="196" t="str">
        <f>IF(D94="No tan necesario",VLOOKUP(B94,'OPORTUNIDADES DE MEJORA'!$AL$7:$AQ$103,6,0),IF(D94="No necesario",VLOOKUP(B94,'OPORTUNIDADES DE MEJORA'!$AL$7:$AQ$103,6,0),IF(D94="Necesario",VLOOKUP(B94,'MIS FINANZAS'!$H$7:$L$103,5,0),IF(C94="Ingreso",VLOOKUP(B94,'MIS FINANZAS'!$B$7:$F$103,5,0),""))))</f>
        <v/>
      </c>
      <c r="H94" s="17" t="str">
        <f t="shared" si="2"/>
        <v/>
      </c>
      <c r="I94" s="196" t="str">
        <f t="shared" si="3"/>
        <v/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>
        <v>88.0</v>
      </c>
      <c r="AB94" s="1" t="str">
        <f>IFERROR(IFERROR(VLOOKUP(AA94,'MIS FINANZAS'!$AQ$7:$AR$103,2,0),VLOOKUP(AA94,'MIS FINANZAS'!$AS$7:$AT$103,2,0)),"")</f>
        <v/>
      </c>
    </row>
    <row r="95" ht="15.75" customHeight="1">
      <c r="A95" s="1"/>
      <c r="B95" s="14" t="str">
        <f t="shared" si="1"/>
        <v/>
      </c>
      <c r="C95" s="119" t="str">
        <f>IF(B95="","",IF((IFERROR(MATCH(B95,'MIS FINANZAS'!$B$7:$B$103,0),0))&gt;0,"Ingreso","Gasto"))</f>
        <v/>
      </c>
      <c r="D95" s="119" t="str">
        <f>IFERROR(IF(C95="Ingreso",VLOOKUP(B95,'MIS FINANZAS'!$B$7:$F$103,2,0),VLOOKUP(B95,'MIS FINANZAS'!$H$7:$L$103,2,0)),"")</f>
        <v/>
      </c>
      <c r="E95" s="119" t="str">
        <f>IFERROR(IFERROR(VLOOKUP(B95,'MIS FINANZAS'!$B$7:$F$103,4,0),VLOOKUP(B95,'MIS FINANZAS'!$H$7:$L$103,4,0)),"")</f>
        <v/>
      </c>
      <c r="F95" s="119" t="str">
        <f>IFERROR(IF(C95="Ingreso",VLOOKUP(B95,'MIS FINANZAS'!$B$7:$F$103,3,0),VLOOKUP(B95,'MIS FINANZAS'!$H$7:$L$103,3,0)),"")</f>
        <v/>
      </c>
      <c r="G95" s="196" t="str">
        <f>IF(D95="No tan necesario",VLOOKUP(B95,'OPORTUNIDADES DE MEJORA'!$AL$7:$AQ$103,6,0),IF(D95="No necesario",VLOOKUP(B95,'OPORTUNIDADES DE MEJORA'!$AL$7:$AQ$103,6,0),IF(D95="Necesario",VLOOKUP(B95,'MIS FINANZAS'!$H$7:$L$103,5,0),IF(C95="Ingreso",VLOOKUP(B95,'MIS FINANZAS'!$B$7:$F$103,5,0),""))))</f>
        <v/>
      </c>
      <c r="H95" s="17" t="str">
        <f t="shared" si="2"/>
        <v/>
      </c>
      <c r="I95" s="196" t="str">
        <f t="shared" si="3"/>
        <v/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>
        <v>89.0</v>
      </c>
      <c r="AB95" s="1" t="str">
        <f>IFERROR(IFERROR(VLOOKUP(AA95,'MIS FINANZAS'!$AQ$7:$AR$103,2,0),VLOOKUP(AA95,'MIS FINANZAS'!$AS$7:$AT$103,2,0)),"")</f>
        <v/>
      </c>
    </row>
    <row r="96" ht="15.75" customHeight="1">
      <c r="A96" s="1"/>
      <c r="B96" s="14" t="str">
        <f t="shared" si="1"/>
        <v/>
      </c>
      <c r="C96" s="119" t="str">
        <f>IF(B96="","",IF((IFERROR(MATCH(B96,'MIS FINANZAS'!$B$7:$B$103,0),0))&gt;0,"Ingreso","Gasto"))</f>
        <v/>
      </c>
      <c r="D96" s="119" t="str">
        <f>IFERROR(IF(C96="Ingreso",VLOOKUP(B96,'MIS FINANZAS'!$B$7:$F$103,2,0),VLOOKUP(B96,'MIS FINANZAS'!$H$7:$L$103,2,0)),"")</f>
        <v/>
      </c>
      <c r="E96" s="119" t="str">
        <f>IFERROR(IFERROR(VLOOKUP(B96,'MIS FINANZAS'!$B$7:$F$103,4,0),VLOOKUP(B96,'MIS FINANZAS'!$H$7:$L$103,4,0)),"")</f>
        <v/>
      </c>
      <c r="F96" s="119" t="str">
        <f>IFERROR(IF(C96="Ingreso",VLOOKUP(B96,'MIS FINANZAS'!$B$7:$F$103,3,0),VLOOKUP(B96,'MIS FINANZAS'!$H$7:$L$103,3,0)),"")</f>
        <v/>
      </c>
      <c r="G96" s="196" t="str">
        <f>IF(D96="No tan necesario",VLOOKUP(B96,'OPORTUNIDADES DE MEJORA'!$AL$7:$AQ$103,6,0),IF(D96="No necesario",VLOOKUP(B96,'OPORTUNIDADES DE MEJORA'!$AL$7:$AQ$103,6,0),IF(D96="Necesario",VLOOKUP(B96,'MIS FINANZAS'!$H$7:$L$103,5,0),IF(C96="Ingreso",VLOOKUP(B96,'MIS FINANZAS'!$B$7:$F$103,5,0),""))))</f>
        <v/>
      </c>
      <c r="H96" s="17" t="str">
        <f t="shared" si="2"/>
        <v/>
      </c>
      <c r="I96" s="196" t="str">
        <f t="shared" si="3"/>
        <v/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>
        <v>90.0</v>
      </c>
      <c r="AB96" s="1" t="str">
        <f>IFERROR(IFERROR(VLOOKUP(AA96,'MIS FINANZAS'!$AQ$7:$AR$103,2,0),VLOOKUP(AA96,'MIS FINANZAS'!$AS$7:$AT$103,2,0)),"")</f>
        <v/>
      </c>
    </row>
    <row r="97" ht="15.75" customHeight="1">
      <c r="A97" s="1"/>
      <c r="B97" s="14" t="str">
        <f t="shared" si="1"/>
        <v/>
      </c>
      <c r="C97" s="119" t="str">
        <f>IF(B97="","",IF((IFERROR(MATCH(B97,'MIS FINANZAS'!$B$7:$B$103,0),0))&gt;0,"Ingreso","Gasto"))</f>
        <v/>
      </c>
      <c r="D97" s="119" t="str">
        <f>IFERROR(IF(C97="Ingreso",VLOOKUP(B97,'MIS FINANZAS'!$B$7:$F$103,2,0),VLOOKUP(B97,'MIS FINANZAS'!$H$7:$L$103,2,0)),"")</f>
        <v/>
      </c>
      <c r="E97" s="119" t="str">
        <f>IFERROR(IFERROR(VLOOKUP(B97,'MIS FINANZAS'!$B$7:$F$103,4,0),VLOOKUP(B97,'MIS FINANZAS'!$H$7:$L$103,4,0)),"")</f>
        <v/>
      </c>
      <c r="F97" s="119" t="str">
        <f>IFERROR(IF(C97="Ingreso",VLOOKUP(B97,'MIS FINANZAS'!$B$7:$F$103,3,0),VLOOKUP(B97,'MIS FINANZAS'!$H$7:$L$103,3,0)),"")</f>
        <v/>
      </c>
      <c r="G97" s="196" t="str">
        <f>IF(D97="No tan necesario",VLOOKUP(B97,'OPORTUNIDADES DE MEJORA'!$AL$7:$AQ$103,6,0),IF(D97="No necesario",VLOOKUP(B97,'OPORTUNIDADES DE MEJORA'!$AL$7:$AQ$103,6,0),IF(D97="Necesario",VLOOKUP(B97,'MIS FINANZAS'!$H$7:$L$103,5,0),IF(C97="Ingreso",VLOOKUP(B97,'MIS FINANZAS'!$B$7:$F$103,5,0),""))))</f>
        <v/>
      </c>
      <c r="H97" s="17" t="str">
        <f t="shared" si="2"/>
        <v/>
      </c>
      <c r="I97" s="196" t="str">
        <f t="shared" si="3"/>
        <v/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>
        <v>91.0</v>
      </c>
      <c r="AB97" s="1" t="str">
        <f>IFERROR(IFERROR(VLOOKUP(AA97,'MIS FINANZAS'!$AQ$7:$AR$103,2,0),VLOOKUP(AA97,'MIS FINANZAS'!$AS$7:$AT$103,2,0)),"")</f>
        <v/>
      </c>
    </row>
    <row r="98" ht="15.75" customHeight="1">
      <c r="A98" s="1"/>
      <c r="B98" s="14" t="str">
        <f t="shared" si="1"/>
        <v/>
      </c>
      <c r="C98" s="119" t="str">
        <f>IF(B98="","",IF((IFERROR(MATCH(B98,'MIS FINANZAS'!$B$7:$B$103,0),0))&gt;0,"Ingreso","Gasto"))</f>
        <v/>
      </c>
      <c r="D98" s="119" t="str">
        <f>IFERROR(IF(C98="Ingreso",VLOOKUP(B98,'MIS FINANZAS'!$B$7:$F$103,2,0),VLOOKUP(B98,'MIS FINANZAS'!$H$7:$L$103,2,0)),"")</f>
        <v/>
      </c>
      <c r="E98" s="119" t="str">
        <f>IFERROR(IFERROR(VLOOKUP(B98,'MIS FINANZAS'!$B$7:$F$103,4,0),VLOOKUP(B98,'MIS FINANZAS'!$H$7:$L$103,4,0)),"")</f>
        <v/>
      </c>
      <c r="F98" s="119" t="str">
        <f>IFERROR(IF(C98="Ingreso",VLOOKUP(B98,'MIS FINANZAS'!$B$7:$F$103,3,0),VLOOKUP(B98,'MIS FINANZAS'!$H$7:$L$103,3,0)),"")</f>
        <v/>
      </c>
      <c r="G98" s="196" t="str">
        <f>IF(D98="No tan necesario",VLOOKUP(B98,'OPORTUNIDADES DE MEJORA'!$AL$7:$AQ$103,6,0),IF(D98="No necesario",VLOOKUP(B98,'OPORTUNIDADES DE MEJORA'!$AL$7:$AQ$103,6,0),IF(D98="Necesario",VLOOKUP(B98,'MIS FINANZAS'!$H$7:$L$103,5,0),IF(C98="Ingreso",VLOOKUP(B98,'MIS FINANZAS'!$B$7:$F$103,5,0),""))))</f>
        <v/>
      </c>
      <c r="H98" s="17" t="str">
        <f t="shared" si="2"/>
        <v/>
      </c>
      <c r="I98" s="196" t="str">
        <f t="shared" si="3"/>
        <v/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>
        <v>92.0</v>
      </c>
      <c r="AB98" s="1" t="str">
        <f>IFERROR(IFERROR(VLOOKUP(AA98,'MIS FINANZAS'!$AQ$7:$AR$103,2,0),VLOOKUP(AA98,'MIS FINANZAS'!$AS$7:$AT$103,2,0)),"")</f>
        <v/>
      </c>
    </row>
    <row r="99" ht="15.75" customHeight="1">
      <c r="A99" s="1"/>
      <c r="B99" s="14" t="str">
        <f t="shared" si="1"/>
        <v/>
      </c>
      <c r="C99" s="119" t="str">
        <f>IF(B99="","",IF((IFERROR(MATCH(B99,'MIS FINANZAS'!$B$7:$B$103,0),0))&gt;0,"Ingreso","Gasto"))</f>
        <v/>
      </c>
      <c r="D99" s="119" t="str">
        <f>IFERROR(IF(C99="Ingreso",VLOOKUP(B99,'MIS FINANZAS'!$B$7:$F$103,2,0),VLOOKUP(B99,'MIS FINANZAS'!$H$7:$L$103,2,0)),"")</f>
        <v/>
      </c>
      <c r="E99" s="119" t="str">
        <f>IFERROR(IFERROR(VLOOKUP(B99,'MIS FINANZAS'!$B$7:$F$103,4,0),VLOOKUP(B99,'MIS FINANZAS'!$H$7:$L$103,4,0)),"")</f>
        <v/>
      </c>
      <c r="F99" s="119" t="str">
        <f>IFERROR(IF(C99="Ingreso",VLOOKUP(B99,'MIS FINANZAS'!$B$7:$F$103,3,0),VLOOKUP(B99,'MIS FINANZAS'!$H$7:$L$103,3,0)),"")</f>
        <v/>
      </c>
      <c r="G99" s="196" t="str">
        <f>IF(D99="No tan necesario",VLOOKUP(B99,'OPORTUNIDADES DE MEJORA'!$AL$7:$AQ$103,6,0),IF(D99="No necesario",VLOOKUP(B99,'OPORTUNIDADES DE MEJORA'!$AL$7:$AQ$103,6,0),IF(D99="Necesario",VLOOKUP(B99,'MIS FINANZAS'!$H$7:$L$103,5,0),IF(C99="Ingreso",VLOOKUP(B99,'MIS FINANZAS'!$B$7:$F$103,5,0),""))))</f>
        <v/>
      </c>
      <c r="H99" s="17" t="str">
        <f t="shared" si="2"/>
        <v/>
      </c>
      <c r="I99" s="196" t="str">
        <f t="shared" si="3"/>
        <v/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>
        <v>93.0</v>
      </c>
      <c r="AB99" s="1" t="str">
        <f>IFERROR(IFERROR(VLOOKUP(AA99,'MIS FINANZAS'!$AQ$7:$AR$103,2,0),VLOOKUP(AA99,'MIS FINANZAS'!$AS$7:$AT$103,2,0)),"")</f>
        <v/>
      </c>
    </row>
    <row r="100" ht="15.75" customHeight="1">
      <c r="A100" s="1"/>
      <c r="B100" s="14" t="str">
        <f t="shared" si="1"/>
        <v/>
      </c>
      <c r="C100" s="119" t="str">
        <f>IF(B100="","",IF((IFERROR(MATCH(B100,'MIS FINANZAS'!$B$7:$B$103,0),0))&gt;0,"Ingreso","Gasto"))</f>
        <v/>
      </c>
      <c r="D100" s="119" t="str">
        <f>IFERROR(IF(C100="Ingreso",VLOOKUP(B100,'MIS FINANZAS'!$B$7:$F$103,2,0),VLOOKUP(B100,'MIS FINANZAS'!$H$7:$L$103,2,0)),"")</f>
        <v/>
      </c>
      <c r="E100" s="119" t="str">
        <f>IFERROR(IFERROR(VLOOKUP(B100,'MIS FINANZAS'!$B$7:$F$103,4,0),VLOOKUP(B100,'MIS FINANZAS'!$H$7:$L$103,4,0)),"")</f>
        <v/>
      </c>
      <c r="F100" s="119" t="str">
        <f>IFERROR(IF(C100="Ingreso",VLOOKUP(B100,'MIS FINANZAS'!$B$7:$F$103,3,0),VLOOKUP(B100,'MIS FINANZAS'!$H$7:$L$103,3,0)),"")</f>
        <v/>
      </c>
      <c r="G100" s="196" t="str">
        <f>IF(D100="No tan necesario",VLOOKUP(B100,'OPORTUNIDADES DE MEJORA'!$AL$7:$AQ$103,6,0),IF(D100="No necesario",VLOOKUP(B100,'OPORTUNIDADES DE MEJORA'!$AL$7:$AQ$103,6,0),IF(D100="Necesario",VLOOKUP(B100,'MIS FINANZAS'!$H$7:$L$103,5,0),IF(C100="Ingreso",VLOOKUP(B100,'MIS FINANZAS'!$B$7:$F$103,5,0),""))))</f>
        <v/>
      </c>
      <c r="H100" s="17" t="str">
        <f t="shared" si="2"/>
        <v/>
      </c>
      <c r="I100" s="196" t="str">
        <f t="shared" si="3"/>
        <v/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>
        <v>94.0</v>
      </c>
      <c r="AB100" s="1" t="str">
        <f>IFERROR(IFERROR(VLOOKUP(AA100,'MIS FINANZAS'!$AQ$7:$AR$103,2,0),VLOOKUP(AA100,'MIS FINANZAS'!$AS$7:$AT$103,2,0)),"")</f>
        <v/>
      </c>
    </row>
    <row r="101" ht="15.75" customHeight="1">
      <c r="A101" s="1"/>
      <c r="B101" s="14" t="str">
        <f t="shared" si="1"/>
        <v/>
      </c>
      <c r="C101" s="119" t="str">
        <f>IF(B101="","",IF((IFERROR(MATCH(B101,'MIS FINANZAS'!$B$7:$B$103,0),0))&gt;0,"Ingreso","Gasto"))</f>
        <v/>
      </c>
      <c r="D101" s="119" t="str">
        <f>IFERROR(IF(C101="Ingreso",VLOOKUP(B101,'MIS FINANZAS'!$B$7:$F$103,2,0),VLOOKUP(B101,'MIS FINANZAS'!$H$7:$L$103,2,0)),"")</f>
        <v/>
      </c>
      <c r="E101" s="119" t="str">
        <f>IFERROR(IFERROR(VLOOKUP(B101,'MIS FINANZAS'!$B$7:$F$103,4,0),VLOOKUP(B101,'MIS FINANZAS'!$H$7:$L$103,4,0)),"")</f>
        <v/>
      </c>
      <c r="F101" s="119" t="str">
        <f>IFERROR(IF(C101="Ingreso",VLOOKUP(B101,'MIS FINANZAS'!$B$7:$F$103,3,0),VLOOKUP(B101,'MIS FINANZAS'!$H$7:$L$103,3,0)),"")</f>
        <v/>
      </c>
      <c r="G101" s="196" t="str">
        <f>IF(D101="No tan necesario",VLOOKUP(B101,'OPORTUNIDADES DE MEJORA'!$AL$7:$AQ$103,6,0),IF(D101="No necesario",VLOOKUP(B101,'OPORTUNIDADES DE MEJORA'!$AL$7:$AQ$103,6,0),IF(D101="Necesario",VLOOKUP(B101,'MIS FINANZAS'!$H$7:$L$103,5,0),IF(C101="Ingreso",VLOOKUP(B101,'MIS FINANZAS'!$B$7:$F$103,5,0),""))))</f>
        <v/>
      </c>
      <c r="H101" s="17" t="str">
        <f t="shared" si="2"/>
        <v/>
      </c>
      <c r="I101" s="196" t="str">
        <f t="shared" si="3"/>
        <v/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>
        <v>95.0</v>
      </c>
      <c r="AB101" s="1" t="str">
        <f>IFERROR(IFERROR(VLOOKUP(AA101,'MIS FINANZAS'!$AQ$7:$AR$103,2,0),VLOOKUP(AA101,'MIS FINANZAS'!$AS$7:$AT$103,2,0)),"")</f>
        <v/>
      </c>
    </row>
    <row r="102" ht="15.75" customHeight="1">
      <c r="A102" s="1"/>
      <c r="B102" s="14" t="str">
        <f t="shared" si="1"/>
        <v/>
      </c>
      <c r="C102" s="119" t="str">
        <f>IF(B102="","",IF((IFERROR(MATCH(B102,'MIS FINANZAS'!$B$7:$B$103,0),0))&gt;0,"Ingreso","Gasto"))</f>
        <v/>
      </c>
      <c r="D102" s="119" t="str">
        <f>IFERROR(IF(C102="Ingreso",VLOOKUP(B102,'MIS FINANZAS'!$B$7:$F$103,2,0),VLOOKUP(B102,'MIS FINANZAS'!$H$7:$L$103,2,0)),"")</f>
        <v/>
      </c>
      <c r="E102" s="119" t="str">
        <f>IFERROR(IFERROR(VLOOKUP(B102,'MIS FINANZAS'!$B$7:$F$103,4,0),VLOOKUP(B102,'MIS FINANZAS'!$H$7:$L$103,4,0)),"")</f>
        <v/>
      </c>
      <c r="F102" s="119" t="str">
        <f>IFERROR(IF(C102="Ingreso",VLOOKUP(B102,'MIS FINANZAS'!$B$7:$F$103,3,0),VLOOKUP(B102,'MIS FINANZAS'!$H$7:$L$103,3,0)),"")</f>
        <v/>
      </c>
      <c r="G102" s="196" t="str">
        <f>IF(D102="No tan necesario",VLOOKUP(B102,'OPORTUNIDADES DE MEJORA'!$AL$7:$AQ$103,6,0),IF(D102="No necesario",VLOOKUP(B102,'OPORTUNIDADES DE MEJORA'!$AL$7:$AQ$103,6,0),IF(D102="Necesario",VLOOKUP(B102,'MIS FINANZAS'!$H$7:$L$103,5,0),IF(C102="Ingreso",VLOOKUP(B102,'MIS FINANZAS'!$B$7:$F$103,5,0),""))))</f>
        <v/>
      </c>
      <c r="H102" s="17" t="str">
        <f t="shared" si="2"/>
        <v/>
      </c>
      <c r="I102" s="196" t="str">
        <f t="shared" si="3"/>
        <v/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>
        <v>96.0</v>
      </c>
      <c r="AB102" s="1" t="str">
        <f>IFERROR(IFERROR(VLOOKUP(AA102,'MIS FINANZAS'!$AQ$7:$AR$103,2,0),VLOOKUP(AA102,'MIS FINANZAS'!$AS$7:$AT$103,2,0)),"")</f>
        <v/>
      </c>
    </row>
    <row r="103" ht="15.75" customHeight="1">
      <c r="A103" s="1"/>
      <c r="B103" s="14" t="str">
        <f t="shared" si="1"/>
        <v/>
      </c>
      <c r="C103" s="119" t="str">
        <f>IF(B103="","",IF((IFERROR(MATCH(B103,'MIS FINANZAS'!$B$7:$B$103,0),0))&gt;0,"Ingreso","Gasto"))</f>
        <v/>
      </c>
      <c r="D103" s="119" t="str">
        <f>IFERROR(IF(C103="Ingreso",VLOOKUP(B103,'MIS FINANZAS'!$B$7:$F$103,2,0),VLOOKUP(B103,'MIS FINANZAS'!$H$7:$L$103,2,0)),"")</f>
        <v/>
      </c>
      <c r="E103" s="119" t="str">
        <f>IFERROR(IFERROR(VLOOKUP(B103,'MIS FINANZAS'!$B$7:$F$103,4,0),VLOOKUP(B103,'MIS FINANZAS'!$H$7:$L$103,4,0)),"")</f>
        <v/>
      </c>
      <c r="F103" s="119" t="str">
        <f>IFERROR(IF(C103="Ingreso",VLOOKUP(B103,'MIS FINANZAS'!$B$7:$F$103,3,0),VLOOKUP(B103,'MIS FINANZAS'!$H$7:$L$103,3,0)),"")</f>
        <v/>
      </c>
      <c r="G103" s="196" t="str">
        <f>IF(D103="No tan necesario",VLOOKUP(B103,'OPORTUNIDADES DE MEJORA'!$AL$7:$AQ$103,6,0),IF(D103="No necesario",VLOOKUP(B103,'OPORTUNIDADES DE MEJORA'!$AL$7:$AQ$103,6,0),IF(D103="Necesario",VLOOKUP(B103,'MIS FINANZAS'!$H$7:$L$103,5,0),IF(C103="Ingreso",VLOOKUP(B103,'MIS FINANZAS'!$B$7:$F$103,5,0),""))))</f>
        <v/>
      </c>
      <c r="H103" s="17" t="str">
        <f t="shared" si="2"/>
        <v/>
      </c>
      <c r="I103" s="196" t="str">
        <f t="shared" si="3"/>
        <v/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>
        <v>97.0</v>
      </c>
      <c r="AB103" s="1" t="str">
        <f>IFERROR(IFERROR(VLOOKUP(AA103,'MIS FINANZAS'!$AQ$7:$AR$103,2,0),VLOOKUP(AA103,'MIS FINANZAS'!$AS$7:$AT$103,2,0)),"")</f>
        <v/>
      </c>
    </row>
    <row r="104" ht="15.75" customHeight="1">
      <c r="A104" s="1"/>
      <c r="B104" s="14" t="str">
        <f t="shared" si="1"/>
        <v/>
      </c>
      <c r="C104" s="119" t="str">
        <f>IF(B104="","",IF((IFERROR(MATCH(B104,'MIS FINANZAS'!$B$7:$B$103,0),0))&gt;0,"Ingreso","Gasto"))</f>
        <v/>
      </c>
      <c r="D104" s="119" t="str">
        <f>IFERROR(IF(C104="Ingreso",VLOOKUP(B104,'MIS FINANZAS'!$B$7:$F$103,2,0),VLOOKUP(B104,'MIS FINANZAS'!$H$7:$L$103,2,0)),"")</f>
        <v/>
      </c>
      <c r="E104" s="119" t="str">
        <f>IFERROR(IFERROR(VLOOKUP(B104,'MIS FINANZAS'!$B$7:$F$103,4,0),VLOOKUP(B104,'MIS FINANZAS'!$H$7:$L$103,4,0)),"")</f>
        <v/>
      </c>
      <c r="F104" s="119" t="str">
        <f>IFERROR(IF(C104="Ingreso",VLOOKUP(B104,'MIS FINANZAS'!$B$7:$F$103,3,0),VLOOKUP(B104,'MIS FINANZAS'!$H$7:$L$103,3,0)),"")</f>
        <v/>
      </c>
      <c r="G104" s="196" t="str">
        <f>IF(D104="No tan necesario",VLOOKUP(B104,'OPORTUNIDADES DE MEJORA'!$AL$7:$AQ$103,6,0),IF(D104="No necesario",VLOOKUP(B104,'OPORTUNIDADES DE MEJORA'!$AL$7:$AQ$103,6,0),IF(D104="Necesario",VLOOKUP(B104,'MIS FINANZAS'!$H$7:$L$103,5,0),IF(C104="Ingreso",VLOOKUP(B104,'MIS FINANZAS'!$B$7:$F$103,5,0),""))))</f>
        <v/>
      </c>
      <c r="H104" s="17" t="str">
        <f t="shared" si="2"/>
        <v/>
      </c>
      <c r="I104" s="196" t="str">
        <f t="shared" si="3"/>
        <v/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>
        <v>98.0</v>
      </c>
      <c r="AB104" s="1" t="str">
        <f>IFERROR(IFERROR(VLOOKUP(AA104,'MIS FINANZAS'!$AQ$7:$AR$103,2,0),VLOOKUP(AA104,'MIS FINANZAS'!$AS$7:$AT$103,2,0)),"")</f>
        <v/>
      </c>
    </row>
    <row r="105" ht="15.75" customHeight="1">
      <c r="A105" s="1"/>
      <c r="B105" s="14" t="str">
        <f t="shared" si="1"/>
        <v/>
      </c>
      <c r="C105" s="119" t="str">
        <f>IF(B105="","",IF((IFERROR(MATCH(B105,'MIS FINANZAS'!$B$7:$B$103,0),0))&gt;0,"Ingreso","Gasto"))</f>
        <v/>
      </c>
      <c r="D105" s="119" t="str">
        <f>IFERROR(IF(C105="Ingreso",VLOOKUP(B105,'MIS FINANZAS'!$B$7:$F$103,2,0),VLOOKUP(B105,'MIS FINANZAS'!$H$7:$L$103,2,0)),"")</f>
        <v/>
      </c>
      <c r="E105" s="119" t="str">
        <f>IFERROR(IFERROR(VLOOKUP(B105,'MIS FINANZAS'!$B$7:$F$103,4,0),VLOOKUP(B105,'MIS FINANZAS'!$H$7:$L$103,4,0)),"")</f>
        <v/>
      </c>
      <c r="F105" s="119" t="str">
        <f>IFERROR(IF(C105="Ingreso",VLOOKUP(B105,'MIS FINANZAS'!$B$7:$F$103,3,0),VLOOKUP(B105,'MIS FINANZAS'!$H$7:$L$103,3,0)),"")</f>
        <v/>
      </c>
      <c r="G105" s="196" t="str">
        <f>IF(D105="No tan necesario",VLOOKUP(B105,'OPORTUNIDADES DE MEJORA'!$AL$7:$AQ$103,6,0),IF(D105="No necesario",VLOOKUP(B105,'OPORTUNIDADES DE MEJORA'!$AL$7:$AQ$103,6,0),IF(D105="Necesario",VLOOKUP(B105,'MIS FINANZAS'!$H$7:$L$103,5,0),IF(C105="Ingreso",VLOOKUP(B105,'MIS FINANZAS'!$B$7:$F$103,5,0),""))))</f>
        <v/>
      </c>
      <c r="H105" s="17" t="str">
        <f t="shared" si="2"/>
        <v/>
      </c>
      <c r="I105" s="196" t="str">
        <f t="shared" si="3"/>
        <v/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>
        <v>99.0</v>
      </c>
      <c r="AB105" s="1" t="str">
        <f>IFERROR(IFERROR(VLOOKUP(AA105,'MIS FINANZAS'!$AQ$7:$AR$103,2,0),VLOOKUP(AA105,'MIS FINANZAS'!$AS$7:$AT$103,2,0)),"")</f>
        <v/>
      </c>
    </row>
    <row r="106" ht="15.75" customHeight="1">
      <c r="A106" s="1"/>
      <c r="B106" s="14" t="str">
        <f t="shared" si="1"/>
        <v/>
      </c>
      <c r="C106" s="119" t="str">
        <f>IF(B106="","",IF((IFERROR(MATCH(B106,'MIS FINANZAS'!$B$7:$B$103,0),0))&gt;0,"Ingreso","Gasto"))</f>
        <v/>
      </c>
      <c r="D106" s="119" t="str">
        <f>IFERROR(IF(C106="Ingreso",VLOOKUP(B106,'MIS FINANZAS'!$B$7:$F$103,2,0),VLOOKUP(B106,'MIS FINANZAS'!$H$7:$L$103,2,0)),"")</f>
        <v/>
      </c>
      <c r="E106" s="119" t="str">
        <f>IFERROR(IFERROR(VLOOKUP(B106,'MIS FINANZAS'!$B$7:$F$103,4,0),VLOOKUP(B106,'MIS FINANZAS'!$H$7:$L$103,4,0)),"")</f>
        <v/>
      </c>
      <c r="F106" s="119" t="str">
        <f>IFERROR(IF(C106="Ingreso",VLOOKUP(B106,'MIS FINANZAS'!$B$7:$F$103,3,0),VLOOKUP(B106,'MIS FINANZAS'!$H$7:$L$103,3,0)),"")</f>
        <v/>
      </c>
      <c r="G106" s="196" t="str">
        <f>IF(D106="No tan necesario",VLOOKUP(B106,'OPORTUNIDADES DE MEJORA'!$AL$7:$AQ$103,6,0),IF(D106="No necesario",VLOOKUP(B106,'OPORTUNIDADES DE MEJORA'!$AL$7:$AQ$103,6,0),IF(D106="Necesario",VLOOKUP(B106,'MIS FINANZAS'!$H$7:$L$103,5,0),IF(C106="Ingreso",VLOOKUP(B106,'MIS FINANZAS'!$B$7:$F$103,5,0),""))))</f>
        <v/>
      </c>
      <c r="H106" s="17" t="str">
        <f t="shared" si="2"/>
        <v/>
      </c>
      <c r="I106" s="196" t="str">
        <f t="shared" si="3"/>
        <v/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>
        <v>100.0</v>
      </c>
      <c r="AB106" s="1" t="str">
        <f>IFERROR(IFERROR(VLOOKUP(AA106,'MIS FINANZAS'!$AQ$7:$AR$103,2,0),VLOOKUP(AA106,'MIS FINANZAS'!$AS$7:$AT$103,2,0)),"")</f>
        <v/>
      </c>
    </row>
    <row r="107" ht="15.75" customHeight="1">
      <c r="A107" s="1"/>
      <c r="B107" s="14" t="str">
        <f t="shared" si="1"/>
        <v/>
      </c>
      <c r="C107" s="119" t="str">
        <f>IF(B107="","",IF((IFERROR(MATCH(B107,'MIS FINANZAS'!$B$7:$B$103,0),0))&gt;0,"Ingreso","Gasto"))</f>
        <v/>
      </c>
      <c r="D107" s="119" t="str">
        <f>IFERROR(IF(C107="Ingreso",VLOOKUP(B107,'MIS FINANZAS'!$B$7:$F$103,2,0),VLOOKUP(B107,'MIS FINANZAS'!$H$7:$L$103,2,0)),"")</f>
        <v/>
      </c>
      <c r="E107" s="119" t="str">
        <f>IFERROR(IFERROR(VLOOKUP(B107,'MIS FINANZAS'!$B$7:$F$103,4,0),VLOOKUP(B107,'MIS FINANZAS'!$H$7:$L$103,4,0)),"")</f>
        <v/>
      </c>
      <c r="F107" s="119" t="str">
        <f>IFERROR(IF(C107="Ingreso",VLOOKUP(B107,'MIS FINANZAS'!$B$7:$F$103,3,0),VLOOKUP(B107,'MIS FINANZAS'!$H$7:$L$103,3,0)),"")</f>
        <v/>
      </c>
      <c r="G107" s="196" t="str">
        <f>IF(D107="No tan necesario",VLOOKUP(B107,'OPORTUNIDADES DE MEJORA'!$AL$7:$AQ$103,6,0),IF(D107="No necesario",VLOOKUP(B107,'OPORTUNIDADES DE MEJORA'!$AL$7:$AQ$103,6,0),IF(D107="Necesario",VLOOKUP(B107,'MIS FINANZAS'!$H$7:$L$103,5,0),IF(C107="Ingreso",VLOOKUP(B107,'MIS FINANZAS'!$B$7:$F$103,5,0),""))))</f>
        <v/>
      </c>
      <c r="H107" s="17" t="str">
        <f t="shared" si="2"/>
        <v/>
      </c>
      <c r="I107" s="196" t="str">
        <f t="shared" si="3"/>
        <v/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>
        <v>101.0</v>
      </c>
      <c r="AB107" s="1" t="str">
        <f>IFERROR(IFERROR(VLOOKUP(AA107,'MIS FINANZAS'!$AQ$7:$AR$103,2,0),VLOOKUP(AA107,'MIS FINANZAS'!$AS$7:$AT$103,2,0)),"")</f>
        <v/>
      </c>
    </row>
    <row r="108" ht="15.75" customHeight="1">
      <c r="A108" s="1"/>
      <c r="B108" s="14" t="str">
        <f t="shared" si="1"/>
        <v/>
      </c>
      <c r="C108" s="119" t="str">
        <f>IF(B108="","",IF((IFERROR(MATCH(B108,'MIS FINANZAS'!$B$7:$B$103,0),0))&gt;0,"Ingreso","Gasto"))</f>
        <v/>
      </c>
      <c r="D108" s="119" t="str">
        <f>IFERROR(IF(C108="Ingreso",VLOOKUP(B108,'MIS FINANZAS'!$B$7:$F$103,2,0),VLOOKUP(B108,'MIS FINANZAS'!$H$7:$L$103,2,0)),"")</f>
        <v/>
      </c>
      <c r="E108" s="119" t="str">
        <f>IFERROR(IFERROR(VLOOKUP(B108,'MIS FINANZAS'!$B$7:$F$103,4,0),VLOOKUP(B108,'MIS FINANZAS'!$H$7:$L$103,4,0)),"")</f>
        <v/>
      </c>
      <c r="F108" s="119" t="str">
        <f>IFERROR(IF(C108="Ingreso",VLOOKUP(B108,'MIS FINANZAS'!$B$7:$F$103,3,0),VLOOKUP(B108,'MIS FINANZAS'!$H$7:$L$103,3,0)),"")</f>
        <v/>
      </c>
      <c r="G108" s="196" t="str">
        <f>IF(D108="No tan necesario",VLOOKUP(B108,'OPORTUNIDADES DE MEJORA'!$AL$7:$AQ$103,6,0),IF(D108="No necesario",VLOOKUP(B108,'OPORTUNIDADES DE MEJORA'!$AL$7:$AQ$103,6,0),IF(D108="Necesario",VLOOKUP(B108,'MIS FINANZAS'!$H$7:$L$103,5,0),IF(C108="Ingreso",VLOOKUP(B108,'MIS FINANZAS'!$B$7:$F$103,5,0),""))))</f>
        <v/>
      </c>
      <c r="H108" s="17" t="str">
        <f t="shared" si="2"/>
        <v/>
      </c>
      <c r="I108" s="196" t="str">
        <f t="shared" si="3"/>
        <v/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>
        <v>102.0</v>
      </c>
      <c r="AB108" s="1" t="str">
        <f>IFERROR(IFERROR(VLOOKUP(AA108,'MIS FINANZAS'!$AQ$7:$AR$103,2,0),VLOOKUP(AA108,'MIS FINANZAS'!$AS$7:$AT$103,2,0)),"")</f>
        <v/>
      </c>
    </row>
    <row r="109" ht="15.75" customHeight="1">
      <c r="A109" s="1"/>
      <c r="B109" s="14" t="str">
        <f t="shared" si="1"/>
        <v/>
      </c>
      <c r="C109" s="119" t="str">
        <f>IF(B109="","",IF((IFERROR(MATCH(B109,'MIS FINANZAS'!$B$7:$B$103,0),0))&gt;0,"Ingreso","Gasto"))</f>
        <v/>
      </c>
      <c r="D109" s="119" t="str">
        <f>IFERROR(IF(C109="Ingreso",VLOOKUP(B109,'MIS FINANZAS'!$B$7:$F$103,2,0),VLOOKUP(B109,'MIS FINANZAS'!$H$7:$L$103,2,0)),"")</f>
        <v/>
      </c>
      <c r="E109" s="119" t="str">
        <f>IFERROR(IFERROR(VLOOKUP(B109,'MIS FINANZAS'!$B$7:$F$103,4,0),VLOOKUP(B109,'MIS FINANZAS'!$H$7:$L$103,4,0)),"")</f>
        <v/>
      </c>
      <c r="F109" s="119" t="str">
        <f>IFERROR(IF(C109="Ingreso",VLOOKUP(B109,'MIS FINANZAS'!$B$7:$F$103,3,0),VLOOKUP(B109,'MIS FINANZAS'!$H$7:$L$103,3,0)),"")</f>
        <v/>
      </c>
      <c r="G109" s="196" t="str">
        <f>IF(D109="No tan necesario",VLOOKUP(B109,'OPORTUNIDADES DE MEJORA'!$AL$7:$AQ$103,6,0),IF(D109="No necesario",VLOOKUP(B109,'OPORTUNIDADES DE MEJORA'!$AL$7:$AQ$103,6,0),IF(D109="Necesario",VLOOKUP(B109,'MIS FINANZAS'!$H$7:$L$103,5,0),IF(C109="Ingreso",VLOOKUP(B109,'MIS FINANZAS'!$B$7:$F$103,5,0),""))))</f>
        <v/>
      </c>
      <c r="H109" s="17" t="str">
        <f t="shared" si="2"/>
        <v/>
      </c>
      <c r="I109" s="196" t="str">
        <f t="shared" si="3"/>
        <v/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>
        <v>103.0</v>
      </c>
      <c r="AB109" s="1" t="str">
        <f>IFERROR(IFERROR(VLOOKUP(AA109,'MIS FINANZAS'!$AQ$7:$AR$103,2,0),VLOOKUP(AA109,'MIS FINANZAS'!$AS$7:$AT$103,2,0)),"")</f>
        <v/>
      </c>
    </row>
    <row r="110" ht="15.75" customHeight="1">
      <c r="A110" s="1"/>
      <c r="B110" s="14" t="str">
        <f t="shared" si="1"/>
        <v/>
      </c>
      <c r="C110" s="119" t="str">
        <f>IF(B110="","",IF((IFERROR(MATCH(B110,'MIS FINANZAS'!$B$7:$B$103,0),0))&gt;0,"Ingreso","Gasto"))</f>
        <v/>
      </c>
      <c r="D110" s="119" t="str">
        <f>IFERROR(IF(C110="Ingreso",VLOOKUP(B110,'MIS FINANZAS'!$B$7:$F$103,2,0),VLOOKUP(B110,'MIS FINANZAS'!$H$7:$L$103,2,0)),"")</f>
        <v/>
      </c>
      <c r="E110" s="119" t="str">
        <f>IFERROR(IFERROR(VLOOKUP(B110,'MIS FINANZAS'!$B$7:$F$103,4,0),VLOOKUP(B110,'MIS FINANZAS'!$H$7:$L$103,4,0)),"")</f>
        <v/>
      </c>
      <c r="F110" s="119" t="str">
        <f>IFERROR(IF(C110="Ingreso",VLOOKUP(B110,'MIS FINANZAS'!$B$7:$F$103,3,0),VLOOKUP(B110,'MIS FINANZAS'!$H$7:$L$103,3,0)),"")</f>
        <v/>
      </c>
      <c r="G110" s="196" t="str">
        <f>IF(D110="No tan necesario",VLOOKUP(B110,'OPORTUNIDADES DE MEJORA'!$AL$7:$AQ$103,6,0),IF(D110="No necesario",VLOOKUP(B110,'OPORTUNIDADES DE MEJORA'!$AL$7:$AQ$103,6,0),IF(D110="Necesario",VLOOKUP(B110,'MIS FINANZAS'!$H$7:$L$103,5,0),IF(C110="Ingreso",VLOOKUP(B110,'MIS FINANZAS'!$B$7:$F$103,5,0),""))))</f>
        <v/>
      </c>
      <c r="H110" s="17" t="str">
        <f t="shared" si="2"/>
        <v/>
      </c>
      <c r="I110" s="196" t="str">
        <f t="shared" si="3"/>
        <v/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>
        <v>104.0</v>
      </c>
      <c r="AB110" s="1" t="str">
        <f>IFERROR(IFERROR(VLOOKUP(AA110,'MIS FINANZAS'!$AQ$7:$AR$103,2,0),VLOOKUP(AA110,'MIS FINANZAS'!$AS$7:$AT$103,2,0)),"")</f>
        <v/>
      </c>
    </row>
    <row r="111" ht="15.75" customHeight="1">
      <c r="A111" s="1"/>
      <c r="B111" s="14" t="str">
        <f t="shared" si="1"/>
        <v/>
      </c>
      <c r="C111" s="119" t="str">
        <f>IF(B111="","",IF((IFERROR(MATCH(B111,'MIS FINANZAS'!$B$7:$B$103,0),0))&gt;0,"Ingreso","Gasto"))</f>
        <v/>
      </c>
      <c r="D111" s="119" t="str">
        <f>IFERROR(IF(C111="Ingreso",VLOOKUP(B111,'MIS FINANZAS'!$B$7:$F$103,2,0),VLOOKUP(B111,'MIS FINANZAS'!$H$7:$L$103,2,0)),"")</f>
        <v/>
      </c>
      <c r="E111" s="119" t="str">
        <f>IFERROR(IFERROR(VLOOKUP(B111,'MIS FINANZAS'!$B$7:$F$103,4,0),VLOOKUP(B111,'MIS FINANZAS'!$H$7:$L$103,4,0)),"")</f>
        <v/>
      </c>
      <c r="F111" s="119" t="str">
        <f>IFERROR(IF(C111="Ingreso",VLOOKUP(B111,'MIS FINANZAS'!$B$7:$F$103,3,0),VLOOKUP(B111,'MIS FINANZAS'!$H$7:$L$103,3,0)),"")</f>
        <v/>
      </c>
      <c r="G111" s="196" t="str">
        <f>IF(D111="No tan necesario",VLOOKUP(B111,'OPORTUNIDADES DE MEJORA'!$AL$7:$AQ$103,6,0),IF(D111="No necesario",VLOOKUP(B111,'OPORTUNIDADES DE MEJORA'!$AL$7:$AQ$103,6,0),IF(D111="Necesario",VLOOKUP(B111,'MIS FINANZAS'!$H$7:$L$103,5,0),IF(C111="Ingreso",VLOOKUP(B111,'MIS FINANZAS'!$B$7:$F$103,5,0),""))))</f>
        <v/>
      </c>
      <c r="H111" s="17" t="str">
        <f t="shared" si="2"/>
        <v/>
      </c>
      <c r="I111" s="196" t="str">
        <f t="shared" si="3"/>
        <v/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>
        <v>105.0</v>
      </c>
      <c r="AB111" s="1" t="str">
        <f>IFERROR(IFERROR(VLOOKUP(AA111,'MIS FINANZAS'!$AQ$7:$AR$103,2,0),VLOOKUP(AA111,'MIS FINANZAS'!$AS$7:$AT$103,2,0)),"")</f>
        <v/>
      </c>
    </row>
    <row r="112" ht="15.75" customHeight="1">
      <c r="A112" s="1"/>
      <c r="B112" s="14" t="str">
        <f t="shared" si="1"/>
        <v/>
      </c>
      <c r="C112" s="119" t="str">
        <f>IF(B112="","",IF((IFERROR(MATCH(B112,'MIS FINANZAS'!$B$7:$B$103,0),0))&gt;0,"Ingreso","Gasto"))</f>
        <v/>
      </c>
      <c r="D112" s="119" t="str">
        <f>IFERROR(IF(C112="Ingreso",VLOOKUP(B112,'MIS FINANZAS'!$B$7:$F$103,2,0),VLOOKUP(B112,'MIS FINANZAS'!$H$7:$L$103,2,0)),"")</f>
        <v/>
      </c>
      <c r="E112" s="119" t="str">
        <f>IFERROR(IFERROR(VLOOKUP(B112,'MIS FINANZAS'!$B$7:$F$103,4,0),VLOOKUP(B112,'MIS FINANZAS'!$H$7:$L$103,4,0)),"")</f>
        <v/>
      </c>
      <c r="F112" s="119" t="str">
        <f>IFERROR(IF(C112="Ingreso",VLOOKUP(B112,'MIS FINANZAS'!$B$7:$F$103,3,0),VLOOKUP(B112,'MIS FINANZAS'!$H$7:$L$103,3,0)),"")</f>
        <v/>
      </c>
      <c r="G112" s="196" t="str">
        <f>IF(D112="No tan necesario",VLOOKUP(B112,'OPORTUNIDADES DE MEJORA'!$AL$7:$AQ$103,6,0),IF(D112="No necesario",VLOOKUP(B112,'OPORTUNIDADES DE MEJORA'!$AL$7:$AQ$103,6,0),IF(D112="Necesario",VLOOKUP(B112,'MIS FINANZAS'!$H$7:$L$103,5,0),IF(C112="Ingreso",VLOOKUP(B112,'MIS FINANZAS'!$B$7:$F$103,5,0),""))))</f>
        <v/>
      </c>
      <c r="H112" s="17" t="str">
        <f t="shared" si="2"/>
        <v/>
      </c>
      <c r="I112" s="196" t="str">
        <f t="shared" si="3"/>
        <v/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>
        <v>106.0</v>
      </c>
      <c r="AB112" s="1" t="str">
        <f>IFERROR(IFERROR(VLOOKUP(AA112,'MIS FINANZAS'!$AQ$7:$AR$103,2,0),VLOOKUP(AA112,'MIS FINANZAS'!$AS$7:$AT$103,2,0)),"")</f>
        <v/>
      </c>
    </row>
    <row r="113" ht="15.75" customHeight="1">
      <c r="A113" s="1"/>
      <c r="B113" s="14" t="str">
        <f t="shared" si="1"/>
        <v/>
      </c>
      <c r="C113" s="119" t="str">
        <f>IF(B113="","",IF((IFERROR(MATCH(B113,'MIS FINANZAS'!$B$7:$B$103,0),0))&gt;0,"Ingreso","Gasto"))</f>
        <v/>
      </c>
      <c r="D113" s="119" t="str">
        <f>IFERROR(IF(C113="Ingreso",VLOOKUP(B113,'MIS FINANZAS'!$B$7:$F$103,2,0),VLOOKUP(B113,'MIS FINANZAS'!$H$7:$L$103,2,0)),"")</f>
        <v/>
      </c>
      <c r="E113" s="119" t="str">
        <f>IFERROR(IFERROR(VLOOKUP(B113,'MIS FINANZAS'!$B$7:$F$103,4,0),VLOOKUP(B113,'MIS FINANZAS'!$H$7:$L$103,4,0)),"")</f>
        <v/>
      </c>
      <c r="F113" s="119" t="str">
        <f>IFERROR(IF(C113="Ingreso",VLOOKUP(B113,'MIS FINANZAS'!$B$7:$F$103,3,0),VLOOKUP(B113,'MIS FINANZAS'!$H$7:$L$103,3,0)),"")</f>
        <v/>
      </c>
      <c r="G113" s="196" t="str">
        <f>IF(D113="No tan necesario",VLOOKUP(B113,'OPORTUNIDADES DE MEJORA'!$AL$7:$AQ$103,6,0),IF(D113="No necesario",VLOOKUP(B113,'OPORTUNIDADES DE MEJORA'!$AL$7:$AQ$103,6,0),IF(D113="Necesario",VLOOKUP(B113,'MIS FINANZAS'!$H$7:$L$103,5,0),IF(C113="Ingreso",VLOOKUP(B113,'MIS FINANZAS'!$B$7:$F$103,5,0),""))))</f>
        <v/>
      </c>
      <c r="H113" s="17" t="str">
        <f t="shared" si="2"/>
        <v/>
      </c>
      <c r="I113" s="196" t="str">
        <f t="shared" si="3"/>
        <v/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>
        <v>107.0</v>
      </c>
      <c r="AB113" s="1" t="str">
        <f>IFERROR(IFERROR(VLOOKUP(AA113,'MIS FINANZAS'!$AQ$7:$AR$103,2,0),VLOOKUP(AA113,'MIS FINANZAS'!$AS$7:$AT$103,2,0)),"")</f>
        <v/>
      </c>
    </row>
    <row r="114" ht="15.75" customHeight="1">
      <c r="A114" s="1"/>
      <c r="B114" s="14" t="str">
        <f t="shared" si="1"/>
        <v/>
      </c>
      <c r="C114" s="119" t="str">
        <f>IF(B114="","",IF((IFERROR(MATCH(B114,'MIS FINANZAS'!$B$7:$B$103,0),0))&gt;0,"Ingreso","Gasto"))</f>
        <v/>
      </c>
      <c r="D114" s="119" t="str">
        <f>IFERROR(IF(C114="Ingreso",VLOOKUP(B114,'MIS FINANZAS'!$B$7:$F$103,2,0),VLOOKUP(B114,'MIS FINANZAS'!$H$7:$L$103,2,0)),"")</f>
        <v/>
      </c>
      <c r="E114" s="119" t="str">
        <f>IFERROR(IFERROR(VLOOKUP(B114,'MIS FINANZAS'!$B$7:$F$103,4,0),VLOOKUP(B114,'MIS FINANZAS'!$H$7:$L$103,4,0)),"")</f>
        <v/>
      </c>
      <c r="F114" s="119" t="str">
        <f>IFERROR(IF(C114="Ingreso",VLOOKUP(B114,'MIS FINANZAS'!$B$7:$F$103,3,0),VLOOKUP(B114,'MIS FINANZAS'!$H$7:$L$103,3,0)),"")</f>
        <v/>
      </c>
      <c r="G114" s="196" t="str">
        <f>IF(D114="No tan necesario",VLOOKUP(B114,'OPORTUNIDADES DE MEJORA'!$AL$7:$AQ$103,6,0),IF(D114="No necesario",VLOOKUP(B114,'OPORTUNIDADES DE MEJORA'!$AL$7:$AQ$103,6,0),IF(D114="Necesario",VLOOKUP(B114,'MIS FINANZAS'!$H$7:$L$103,5,0),IF(C114="Ingreso",VLOOKUP(B114,'MIS FINANZAS'!$B$7:$F$103,5,0),""))))</f>
        <v/>
      </c>
      <c r="H114" s="17" t="str">
        <f t="shared" si="2"/>
        <v/>
      </c>
      <c r="I114" s="196" t="str">
        <f t="shared" si="3"/>
        <v/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>
        <v>108.0</v>
      </c>
      <c r="AB114" s="1" t="str">
        <f>IFERROR(IFERROR(VLOOKUP(AA114,'MIS FINANZAS'!$AQ$7:$AR$103,2,0),VLOOKUP(AA114,'MIS FINANZAS'!$AS$7:$AT$103,2,0)),"")</f>
        <v/>
      </c>
    </row>
    <row r="115" ht="15.75" customHeight="1">
      <c r="A115" s="1"/>
      <c r="B115" s="14" t="str">
        <f t="shared" si="1"/>
        <v/>
      </c>
      <c r="C115" s="119" t="str">
        <f>IF(B115="","",IF((IFERROR(MATCH(B115,'MIS FINANZAS'!$B$7:$B$103,0),0))&gt;0,"Ingreso","Gasto"))</f>
        <v/>
      </c>
      <c r="D115" s="119" t="str">
        <f>IFERROR(IF(C115="Ingreso",VLOOKUP(B115,'MIS FINANZAS'!$B$7:$F$103,2,0),VLOOKUP(B115,'MIS FINANZAS'!$H$7:$L$103,2,0)),"")</f>
        <v/>
      </c>
      <c r="E115" s="119" t="str">
        <f>IFERROR(IFERROR(VLOOKUP(B115,'MIS FINANZAS'!$B$7:$F$103,4,0),VLOOKUP(B115,'MIS FINANZAS'!$H$7:$L$103,4,0)),"")</f>
        <v/>
      </c>
      <c r="F115" s="119" t="str">
        <f>IFERROR(IF(C115="Ingreso",VLOOKUP(B115,'MIS FINANZAS'!$B$7:$F$103,3,0),VLOOKUP(B115,'MIS FINANZAS'!$H$7:$L$103,3,0)),"")</f>
        <v/>
      </c>
      <c r="G115" s="196" t="str">
        <f>IF(D115="No tan necesario",VLOOKUP(B115,'OPORTUNIDADES DE MEJORA'!$AL$7:$AQ$103,6,0),IF(D115="No necesario",VLOOKUP(B115,'OPORTUNIDADES DE MEJORA'!$AL$7:$AQ$103,6,0),IF(D115="Necesario",VLOOKUP(B115,'MIS FINANZAS'!$H$7:$L$103,5,0),IF(C115="Ingreso",VLOOKUP(B115,'MIS FINANZAS'!$B$7:$F$103,5,0),""))))</f>
        <v/>
      </c>
      <c r="H115" s="17" t="str">
        <f t="shared" si="2"/>
        <v/>
      </c>
      <c r="I115" s="196" t="str">
        <f t="shared" si="3"/>
        <v/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>
        <v>109.0</v>
      </c>
      <c r="AB115" s="1" t="str">
        <f>IFERROR(IFERROR(VLOOKUP(AA115,'MIS FINANZAS'!$AQ$7:$AR$103,2,0),VLOOKUP(AA115,'MIS FINANZAS'!$AS$7:$AT$103,2,0)),"")</f>
        <v/>
      </c>
    </row>
    <row r="116" ht="15.75" customHeight="1">
      <c r="A116" s="1"/>
      <c r="B116" s="14" t="str">
        <f t="shared" si="1"/>
        <v/>
      </c>
      <c r="C116" s="119" t="str">
        <f>IF(B116="","",IF((IFERROR(MATCH(B116,'MIS FINANZAS'!$B$7:$B$103,0),0))&gt;0,"Ingreso","Gasto"))</f>
        <v/>
      </c>
      <c r="D116" s="119" t="str">
        <f>IFERROR(IF(C116="Ingreso",VLOOKUP(B116,'MIS FINANZAS'!$B$7:$F$103,2,0),VLOOKUP(B116,'MIS FINANZAS'!$H$7:$L$103,2,0)),"")</f>
        <v/>
      </c>
      <c r="E116" s="119" t="str">
        <f>IFERROR(IFERROR(VLOOKUP(B116,'MIS FINANZAS'!$B$7:$F$103,4,0),VLOOKUP(B116,'MIS FINANZAS'!$H$7:$L$103,4,0)),"")</f>
        <v/>
      </c>
      <c r="F116" s="119" t="str">
        <f>IFERROR(IF(C116="Ingreso",VLOOKUP(B116,'MIS FINANZAS'!$B$7:$F$103,3,0),VLOOKUP(B116,'MIS FINANZAS'!$H$7:$L$103,3,0)),"")</f>
        <v/>
      </c>
      <c r="G116" s="196" t="str">
        <f>IF(D116="No tan necesario",VLOOKUP(B116,'OPORTUNIDADES DE MEJORA'!$AL$7:$AQ$103,6,0),IF(D116="No necesario",VLOOKUP(B116,'OPORTUNIDADES DE MEJORA'!$AL$7:$AQ$103,6,0),IF(D116="Necesario",VLOOKUP(B116,'MIS FINANZAS'!$H$7:$L$103,5,0),IF(C116="Ingreso",VLOOKUP(B116,'MIS FINANZAS'!$B$7:$F$103,5,0),""))))</f>
        <v/>
      </c>
      <c r="H116" s="17" t="str">
        <f t="shared" si="2"/>
        <v/>
      </c>
      <c r="I116" s="196" t="str">
        <f t="shared" si="3"/>
        <v/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>
        <v>110.0</v>
      </c>
      <c r="AB116" s="1" t="str">
        <f>IFERROR(IFERROR(VLOOKUP(AA116,'MIS FINANZAS'!$AQ$7:$AR$103,2,0),VLOOKUP(AA116,'MIS FINANZAS'!$AS$7:$AT$103,2,0)),"")</f>
        <v/>
      </c>
    </row>
    <row r="117" ht="15.75" customHeight="1">
      <c r="A117" s="1"/>
      <c r="B117" s="14" t="str">
        <f t="shared" si="1"/>
        <v/>
      </c>
      <c r="C117" s="119" t="str">
        <f>IF(B117="","",IF((IFERROR(MATCH(B117,'MIS FINANZAS'!$B$7:$B$103,0),0))&gt;0,"Ingreso","Gasto"))</f>
        <v/>
      </c>
      <c r="D117" s="119" t="str">
        <f>IFERROR(IF(C117="Ingreso",VLOOKUP(B117,'MIS FINANZAS'!$B$7:$F$103,2,0),VLOOKUP(B117,'MIS FINANZAS'!$H$7:$L$103,2,0)),"")</f>
        <v/>
      </c>
      <c r="E117" s="119" t="str">
        <f>IFERROR(IFERROR(VLOOKUP(B117,'MIS FINANZAS'!$B$7:$F$103,4,0),VLOOKUP(B117,'MIS FINANZAS'!$H$7:$L$103,4,0)),"")</f>
        <v/>
      </c>
      <c r="F117" s="119" t="str">
        <f>IFERROR(IF(C117="Ingreso",VLOOKUP(B117,'MIS FINANZAS'!$B$7:$F$103,3,0),VLOOKUP(B117,'MIS FINANZAS'!$H$7:$L$103,3,0)),"")</f>
        <v/>
      </c>
      <c r="G117" s="196" t="str">
        <f>IF(D117="No tan necesario",VLOOKUP(B117,'OPORTUNIDADES DE MEJORA'!$AL$7:$AQ$103,6,0),IF(D117="No necesario",VLOOKUP(B117,'OPORTUNIDADES DE MEJORA'!$AL$7:$AQ$103,6,0),IF(D117="Necesario",VLOOKUP(B117,'MIS FINANZAS'!$H$7:$L$103,5,0),IF(C117="Ingreso",VLOOKUP(B117,'MIS FINANZAS'!$B$7:$F$103,5,0),""))))</f>
        <v/>
      </c>
      <c r="H117" s="17" t="str">
        <f t="shared" si="2"/>
        <v/>
      </c>
      <c r="I117" s="196" t="str">
        <f t="shared" si="3"/>
        <v/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>
        <v>111.0</v>
      </c>
      <c r="AB117" s="1" t="str">
        <f>IFERROR(IFERROR(VLOOKUP(AA117,'MIS FINANZAS'!$AQ$7:$AR$103,2,0),VLOOKUP(AA117,'MIS FINANZAS'!$AS$7:$AT$103,2,0)),"")</f>
        <v/>
      </c>
    </row>
    <row r="118" ht="15.75" customHeight="1">
      <c r="A118" s="1"/>
      <c r="B118" s="14" t="str">
        <f t="shared" si="1"/>
        <v/>
      </c>
      <c r="C118" s="119" t="str">
        <f>IF(B118="","",IF((IFERROR(MATCH(B118,'MIS FINANZAS'!$B$7:$B$103,0),0))&gt;0,"Ingreso","Gasto"))</f>
        <v/>
      </c>
      <c r="D118" s="119" t="str">
        <f>IFERROR(IF(C118="Ingreso",VLOOKUP(B118,'MIS FINANZAS'!$B$7:$F$103,2,0),VLOOKUP(B118,'MIS FINANZAS'!$H$7:$L$103,2,0)),"")</f>
        <v/>
      </c>
      <c r="E118" s="119" t="str">
        <f>IFERROR(IFERROR(VLOOKUP(B118,'MIS FINANZAS'!$B$7:$F$103,4,0),VLOOKUP(B118,'MIS FINANZAS'!$H$7:$L$103,4,0)),"")</f>
        <v/>
      </c>
      <c r="F118" s="119" t="str">
        <f>IFERROR(IF(C118="Ingreso",VLOOKUP(B118,'MIS FINANZAS'!$B$7:$F$103,3,0),VLOOKUP(B118,'MIS FINANZAS'!$H$7:$L$103,3,0)),"")</f>
        <v/>
      </c>
      <c r="G118" s="196" t="str">
        <f>IF(D118="No tan necesario",VLOOKUP(B118,'OPORTUNIDADES DE MEJORA'!$AL$7:$AQ$103,6,0),IF(D118="No necesario",VLOOKUP(B118,'OPORTUNIDADES DE MEJORA'!$AL$7:$AQ$103,6,0),IF(D118="Necesario",VLOOKUP(B118,'MIS FINANZAS'!$H$7:$L$103,5,0),IF(C118="Ingreso",VLOOKUP(B118,'MIS FINANZAS'!$B$7:$F$103,5,0),""))))</f>
        <v/>
      </c>
      <c r="H118" s="17" t="str">
        <f t="shared" si="2"/>
        <v/>
      </c>
      <c r="I118" s="196" t="str">
        <f t="shared" si="3"/>
        <v/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>
        <v>112.0</v>
      </c>
      <c r="AB118" s="1" t="str">
        <f>IFERROR(IFERROR(VLOOKUP(AA118,'MIS FINANZAS'!$AQ$7:$AR$103,2,0),VLOOKUP(AA118,'MIS FINANZAS'!$AS$7:$AT$103,2,0)),"")</f>
        <v/>
      </c>
    </row>
    <row r="119" ht="15.75" customHeight="1">
      <c r="A119" s="1"/>
      <c r="B119" s="14" t="str">
        <f t="shared" si="1"/>
        <v/>
      </c>
      <c r="C119" s="119" t="str">
        <f>IF(B119="","",IF((IFERROR(MATCH(B119,'MIS FINANZAS'!$B$7:$B$103,0),0))&gt;0,"Ingreso","Gasto"))</f>
        <v/>
      </c>
      <c r="D119" s="119" t="str">
        <f>IFERROR(IF(C119="Ingreso",VLOOKUP(B119,'MIS FINANZAS'!$B$7:$F$103,2,0),VLOOKUP(B119,'MIS FINANZAS'!$H$7:$L$103,2,0)),"")</f>
        <v/>
      </c>
      <c r="E119" s="119" t="str">
        <f>IFERROR(IFERROR(VLOOKUP(B119,'MIS FINANZAS'!$B$7:$F$103,4,0),VLOOKUP(B119,'MIS FINANZAS'!$H$7:$L$103,4,0)),"")</f>
        <v/>
      </c>
      <c r="F119" s="119" t="str">
        <f>IFERROR(IF(C119="Ingreso",VLOOKUP(B119,'MIS FINANZAS'!$B$7:$F$103,3,0),VLOOKUP(B119,'MIS FINANZAS'!$H$7:$L$103,3,0)),"")</f>
        <v/>
      </c>
      <c r="G119" s="196" t="str">
        <f>IF(D119="No tan necesario",VLOOKUP(B119,'OPORTUNIDADES DE MEJORA'!$AL$7:$AQ$103,6,0),IF(D119="No necesario",VLOOKUP(B119,'OPORTUNIDADES DE MEJORA'!$AL$7:$AQ$103,6,0),IF(D119="Necesario",VLOOKUP(B119,'MIS FINANZAS'!$H$7:$L$103,5,0),IF(C119="Ingreso",VLOOKUP(B119,'MIS FINANZAS'!$B$7:$F$103,5,0),""))))</f>
        <v/>
      </c>
      <c r="H119" s="17" t="str">
        <f t="shared" si="2"/>
        <v/>
      </c>
      <c r="I119" s="196" t="str">
        <f t="shared" si="3"/>
        <v/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>
        <v>113.0</v>
      </c>
      <c r="AB119" s="1" t="str">
        <f>IFERROR(IFERROR(VLOOKUP(AA119,'MIS FINANZAS'!$AQ$7:$AR$103,2,0),VLOOKUP(AA119,'MIS FINANZAS'!$AS$7:$AT$103,2,0)),"")</f>
        <v/>
      </c>
    </row>
    <row r="120" ht="15.75" customHeight="1">
      <c r="A120" s="1"/>
      <c r="B120" s="14" t="str">
        <f t="shared" si="1"/>
        <v/>
      </c>
      <c r="C120" s="119" t="str">
        <f>IF(B120="","",IF((IFERROR(MATCH(B120,'MIS FINANZAS'!$B$7:$B$103,0),0))&gt;0,"Ingreso","Gasto"))</f>
        <v/>
      </c>
      <c r="D120" s="119" t="str">
        <f>IFERROR(IF(C120="Ingreso",VLOOKUP(B120,'MIS FINANZAS'!$B$7:$F$103,2,0),VLOOKUP(B120,'MIS FINANZAS'!$H$7:$L$103,2,0)),"")</f>
        <v/>
      </c>
      <c r="E120" s="119" t="str">
        <f>IFERROR(IFERROR(VLOOKUP(B120,'MIS FINANZAS'!$B$7:$F$103,4,0),VLOOKUP(B120,'MIS FINANZAS'!$H$7:$L$103,4,0)),"")</f>
        <v/>
      </c>
      <c r="F120" s="119" t="str">
        <f>IFERROR(IF(C120="Ingreso",VLOOKUP(B120,'MIS FINANZAS'!$B$7:$F$103,3,0),VLOOKUP(B120,'MIS FINANZAS'!$H$7:$L$103,3,0)),"")</f>
        <v/>
      </c>
      <c r="G120" s="196" t="str">
        <f>IF(D120="No tan necesario",VLOOKUP(B120,'OPORTUNIDADES DE MEJORA'!$AL$7:$AQ$103,6,0),IF(D120="No necesario",VLOOKUP(B120,'OPORTUNIDADES DE MEJORA'!$AL$7:$AQ$103,6,0),IF(D120="Necesario",VLOOKUP(B120,'MIS FINANZAS'!$H$7:$L$103,5,0),IF(C120="Ingreso",VLOOKUP(B120,'MIS FINANZAS'!$B$7:$F$103,5,0),""))))</f>
        <v/>
      </c>
      <c r="H120" s="17" t="str">
        <f t="shared" si="2"/>
        <v/>
      </c>
      <c r="I120" s="196" t="str">
        <f t="shared" si="3"/>
        <v/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>
        <v>114.0</v>
      </c>
      <c r="AB120" s="1" t="str">
        <f>IFERROR(IFERROR(VLOOKUP(AA120,'MIS FINANZAS'!$AQ$7:$AR$103,2,0),VLOOKUP(AA120,'MIS FINANZAS'!$AS$7:$AT$103,2,0)),"")</f>
        <v/>
      </c>
    </row>
    <row r="121" ht="15.75" customHeight="1">
      <c r="A121" s="1"/>
      <c r="B121" s="14" t="str">
        <f t="shared" si="1"/>
        <v/>
      </c>
      <c r="C121" s="119" t="str">
        <f>IF(B121="","",IF((IFERROR(MATCH(B121,'MIS FINANZAS'!$B$7:$B$103,0),0))&gt;0,"Ingreso","Gasto"))</f>
        <v/>
      </c>
      <c r="D121" s="119" t="str">
        <f>IFERROR(IF(C121="Ingreso",VLOOKUP(B121,'MIS FINANZAS'!$B$7:$F$103,2,0),VLOOKUP(B121,'MIS FINANZAS'!$H$7:$L$103,2,0)),"")</f>
        <v/>
      </c>
      <c r="E121" s="119" t="str">
        <f>IFERROR(IFERROR(VLOOKUP(B121,'MIS FINANZAS'!$B$7:$F$103,4,0),VLOOKUP(B121,'MIS FINANZAS'!$H$7:$L$103,4,0)),"")</f>
        <v/>
      </c>
      <c r="F121" s="119" t="str">
        <f>IFERROR(IF(C121="Ingreso",VLOOKUP(B121,'MIS FINANZAS'!$B$7:$F$103,3,0),VLOOKUP(B121,'MIS FINANZAS'!$H$7:$L$103,3,0)),"")</f>
        <v/>
      </c>
      <c r="G121" s="196" t="str">
        <f>IF(D121="No tan necesario",VLOOKUP(B121,'OPORTUNIDADES DE MEJORA'!$AL$7:$AQ$103,6,0),IF(D121="No necesario",VLOOKUP(B121,'OPORTUNIDADES DE MEJORA'!$AL$7:$AQ$103,6,0),IF(D121="Necesario",VLOOKUP(B121,'MIS FINANZAS'!$H$7:$L$103,5,0),IF(C121="Ingreso",VLOOKUP(B121,'MIS FINANZAS'!$B$7:$F$103,5,0),""))))</f>
        <v/>
      </c>
      <c r="H121" s="17" t="str">
        <f t="shared" si="2"/>
        <v/>
      </c>
      <c r="I121" s="196" t="str">
        <f t="shared" si="3"/>
        <v/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>
        <v>115.0</v>
      </c>
      <c r="AB121" s="1" t="str">
        <f>IFERROR(IFERROR(VLOOKUP(AA121,'MIS FINANZAS'!$AQ$7:$AR$103,2,0),VLOOKUP(AA121,'MIS FINANZAS'!$AS$7:$AT$103,2,0)),"")</f>
        <v/>
      </c>
    </row>
    <row r="122" ht="15.75" customHeight="1">
      <c r="A122" s="1"/>
      <c r="B122" s="14" t="str">
        <f t="shared" si="1"/>
        <v/>
      </c>
      <c r="C122" s="119" t="str">
        <f>IF(B122="","",IF((IFERROR(MATCH(B122,'MIS FINANZAS'!$B$7:$B$103,0),0))&gt;0,"Ingreso","Gasto"))</f>
        <v/>
      </c>
      <c r="D122" s="119" t="str">
        <f>IFERROR(IF(C122="Ingreso",VLOOKUP(B122,'MIS FINANZAS'!$B$7:$F$103,2,0),VLOOKUP(B122,'MIS FINANZAS'!$H$7:$L$103,2,0)),"")</f>
        <v/>
      </c>
      <c r="E122" s="119" t="str">
        <f>IFERROR(IFERROR(VLOOKUP(B122,'MIS FINANZAS'!$B$7:$F$103,4,0),VLOOKUP(B122,'MIS FINANZAS'!$H$7:$L$103,4,0)),"")</f>
        <v/>
      </c>
      <c r="F122" s="119" t="str">
        <f>IFERROR(IF(C122="Ingreso",VLOOKUP(B122,'MIS FINANZAS'!$B$7:$F$103,3,0),VLOOKUP(B122,'MIS FINANZAS'!$H$7:$L$103,3,0)),"")</f>
        <v/>
      </c>
      <c r="G122" s="196" t="str">
        <f>IF(D122="No tan necesario",VLOOKUP(B122,'OPORTUNIDADES DE MEJORA'!$AL$7:$AQ$103,6,0),IF(D122="No necesario",VLOOKUP(B122,'OPORTUNIDADES DE MEJORA'!$AL$7:$AQ$103,6,0),IF(D122="Necesario",VLOOKUP(B122,'MIS FINANZAS'!$H$7:$L$103,5,0),IF(C122="Ingreso",VLOOKUP(B122,'MIS FINANZAS'!$B$7:$F$103,5,0),""))))</f>
        <v/>
      </c>
      <c r="H122" s="17" t="str">
        <f t="shared" si="2"/>
        <v/>
      </c>
      <c r="I122" s="196" t="str">
        <f t="shared" si="3"/>
        <v/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>
        <v>116.0</v>
      </c>
      <c r="AB122" s="1" t="str">
        <f>IFERROR(IFERROR(VLOOKUP(AA122,'MIS FINANZAS'!$AQ$7:$AR$103,2,0),VLOOKUP(AA122,'MIS FINANZAS'!$AS$7:$AT$103,2,0)),"")</f>
        <v/>
      </c>
    </row>
    <row r="123" ht="15.75" customHeight="1">
      <c r="A123" s="1"/>
      <c r="B123" s="14" t="str">
        <f t="shared" si="1"/>
        <v/>
      </c>
      <c r="C123" s="119" t="str">
        <f>IF(B123="","",IF((IFERROR(MATCH(B123,'MIS FINANZAS'!$B$7:$B$103,0),0))&gt;0,"Ingreso","Gasto"))</f>
        <v/>
      </c>
      <c r="D123" s="119" t="str">
        <f>IFERROR(IF(C123="Ingreso",VLOOKUP(B123,'MIS FINANZAS'!$B$7:$F$103,2,0),VLOOKUP(B123,'MIS FINANZAS'!$H$7:$L$103,2,0)),"")</f>
        <v/>
      </c>
      <c r="E123" s="119" t="str">
        <f>IFERROR(IFERROR(VLOOKUP(B123,'MIS FINANZAS'!$B$7:$F$103,4,0),VLOOKUP(B123,'MIS FINANZAS'!$H$7:$L$103,4,0)),"")</f>
        <v/>
      </c>
      <c r="F123" s="119" t="str">
        <f>IFERROR(IF(C123="Ingreso",VLOOKUP(B123,'MIS FINANZAS'!$B$7:$F$103,3,0),VLOOKUP(B123,'MIS FINANZAS'!$H$7:$L$103,3,0)),"")</f>
        <v/>
      </c>
      <c r="G123" s="196" t="str">
        <f>IF(D123="No tan necesario",VLOOKUP(B123,'OPORTUNIDADES DE MEJORA'!$AL$7:$AQ$103,6,0),IF(D123="No necesario",VLOOKUP(B123,'OPORTUNIDADES DE MEJORA'!$AL$7:$AQ$103,6,0),IF(D123="Necesario",VLOOKUP(B123,'MIS FINANZAS'!$H$7:$L$103,5,0),IF(C123="Ingreso",VLOOKUP(B123,'MIS FINANZAS'!$B$7:$F$103,5,0),""))))</f>
        <v/>
      </c>
      <c r="H123" s="17" t="str">
        <f t="shared" si="2"/>
        <v/>
      </c>
      <c r="I123" s="196" t="str">
        <f t="shared" si="3"/>
        <v/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>
        <v>117.0</v>
      </c>
      <c r="AB123" s="1" t="str">
        <f>IFERROR(IFERROR(VLOOKUP(AA123,'MIS FINANZAS'!$AQ$7:$AR$103,2,0),VLOOKUP(AA123,'MIS FINANZAS'!$AS$7:$AT$103,2,0)),"")</f>
        <v/>
      </c>
    </row>
    <row r="124" ht="15.75" customHeight="1">
      <c r="A124" s="1"/>
      <c r="B124" s="14" t="str">
        <f t="shared" si="1"/>
        <v/>
      </c>
      <c r="C124" s="119" t="str">
        <f>IF(B124="","",IF((IFERROR(MATCH(B124,'MIS FINANZAS'!$B$7:$B$103,0),0))&gt;0,"Ingreso","Gasto"))</f>
        <v/>
      </c>
      <c r="D124" s="119" t="str">
        <f>IFERROR(IF(C124="Ingreso",VLOOKUP(B124,'MIS FINANZAS'!$B$7:$F$103,2,0),VLOOKUP(B124,'MIS FINANZAS'!$H$7:$L$103,2,0)),"")</f>
        <v/>
      </c>
      <c r="E124" s="119" t="str">
        <f>IFERROR(IFERROR(VLOOKUP(B124,'MIS FINANZAS'!$B$7:$F$103,4,0),VLOOKUP(B124,'MIS FINANZAS'!$H$7:$L$103,4,0)),"")</f>
        <v/>
      </c>
      <c r="F124" s="119" t="str">
        <f>IFERROR(IF(C124="Ingreso",VLOOKUP(B124,'MIS FINANZAS'!$B$7:$F$103,3,0),VLOOKUP(B124,'MIS FINANZAS'!$H$7:$L$103,3,0)),"")</f>
        <v/>
      </c>
      <c r="G124" s="196" t="str">
        <f>IF(D124="No tan necesario",VLOOKUP(B124,'OPORTUNIDADES DE MEJORA'!$AL$7:$AQ$103,6,0),IF(D124="No necesario",VLOOKUP(B124,'OPORTUNIDADES DE MEJORA'!$AL$7:$AQ$103,6,0),IF(D124="Necesario",VLOOKUP(B124,'MIS FINANZAS'!$H$7:$L$103,5,0),IF(C124="Ingreso",VLOOKUP(B124,'MIS FINANZAS'!$B$7:$F$103,5,0),""))))</f>
        <v/>
      </c>
      <c r="H124" s="17" t="str">
        <f t="shared" si="2"/>
        <v/>
      </c>
      <c r="I124" s="196" t="str">
        <f t="shared" si="3"/>
        <v/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>
        <v>118.0</v>
      </c>
      <c r="AB124" s="1" t="str">
        <f>IFERROR(IFERROR(VLOOKUP(AA124,'MIS FINANZAS'!$AQ$7:$AR$103,2,0),VLOOKUP(AA124,'MIS FINANZAS'!$AS$7:$AT$103,2,0)),"")</f>
        <v/>
      </c>
    </row>
    <row r="125" ht="15.75" customHeight="1">
      <c r="A125" s="1"/>
      <c r="B125" s="14" t="str">
        <f t="shared" si="1"/>
        <v/>
      </c>
      <c r="C125" s="119" t="str">
        <f>IF(B125="","",IF((IFERROR(MATCH(B125,'MIS FINANZAS'!$B$7:$B$103,0),0))&gt;0,"Ingreso","Gasto"))</f>
        <v/>
      </c>
      <c r="D125" s="119" t="str">
        <f>IFERROR(IF(C125="Ingreso",VLOOKUP(B125,'MIS FINANZAS'!$B$7:$F$103,2,0),VLOOKUP(B125,'MIS FINANZAS'!$H$7:$L$103,2,0)),"")</f>
        <v/>
      </c>
      <c r="E125" s="119" t="str">
        <f>IFERROR(IFERROR(VLOOKUP(B125,'MIS FINANZAS'!$B$7:$F$103,4,0),VLOOKUP(B125,'MIS FINANZAS'!$H$7:$L$103,4,0)),"")</f>
        <v/>
      </c>
      <c r="F125" s="119" t="str">
        <f>IFERROR(IF(C125="Ingreso",VLOOKUP(B125,'MIS FINANZAS'!$B$7:$F$103,3,0),VLOOKUP(B125,'MIS FINANZAS'!$H$7:$L$103,3,0)),"")</f>
        <v/>
      </c>
      <c r="G125" s="196" t="str">
        <f>IF(D125="No tan necesario",VLOOKUP(B125,'OPORTUNIDADES DE MEJORA'!$AL$7:$AQ$103,6,0),IF(D125="No necesario",VLOOKUP(B125,'OPORTUNIDADES DE MEJORA'!$AL$7:$AQ$103,6,0),IF(D125="Necesario",VLOOKUP(B125,'MIS FINANZAS'!$H$7:$L$103,5,0),IF(C125="Ingreso",VLOOKUP(B125,'MIS FINANZAS'!$B$7:$F$103,5,0),""))))</f>
        <v/>
      </c>
      <c r="H125" s="17" t="str">
        <f t="shared" si="2"/>
        <v/>
      </c>
      <c r="I125" s="196" t="str">
        <f t="shared" si="3"/>
        <v/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>
        <v>119.0</v>
      </c>
      <c r="AB125" s="1" t="str">
        <f>IFERROR(IFERROR(VLOOKUP(AA125,'MIS FINANZAS'!$AQ$7:$AR$103,2,0),VLOOKUP(AA125,'MIS FINANZAS'!$AS$7:$AT$103,2,0)),"")</f>
        <v/>
      </c>
    </row>
    <row r="126" ht="15.75" customHeight="1">
      <c r="A126" s="1"/>
      <c r="B126" s="14" t="str">
        <f t="shared" si="1"/>
        <v/>
      </c>
      <c r="C126" s="119" t="str">
        <f>IF(B126="","",IF((IFERROR(MATCH(B126,'MIS FINANZAS'!$B$7:$B$103,0),0))&gt;0,"Ingreso","Gasto"))</f>
        <v/>
      </c>
      <c r="D126" s="119" t="str">
        <f>IFERROR(IF(C126="Ingreso",VLOOKUP(B126,'MIS FINANZAS'!$B$7:$F$103,2,0),VLOOKUP(B126,'MIS FINANZAS'!$H$7:$L$103,2,0)),"")</f>
        <v/>
      </c>
      <c r="E126" s="119" t="str">
        <f>IFERROR(IFERROR(VLOOKUP(B126,'MIS FINANZAS'!$B$7:$F$103,4,0),VLOOKUP(B126,'MIS FINANZAS'!$H$7:$L$103,4,0)),"")</f>
        <v/>
      </c>
      <c r="F126" s="119" t="str">
        <f>IFERROR(IF(C126="Ingreso",VLOOKUP(B126,'MIS FINANZAS'!$B$7:$F$103,3,0),VLOOKUP(B126,'MIS FINANZAS'!$H$7:$L$103,3,0)),"")</f>
        <v/>
      </c>
      <c r="G126" s="196" t="str">
        <f>IF(D126="No tan necesario",VLOOKUP(B126,'OPORTUNIDADES DE MEJORA'!$AL$7:$AQ$103,6,0),IF(D126="No necesario",VLOOKUP(B126,'OPORTUNIDADES DE MEJORA'!$AL$7:$AQ$103,6,0),IF(D126="Necesario",VLOOKUP(B126,'MIS FINANZAS'!$H$7:$L$103,5,0),IF(C126="Ingreso",VLOOKUP(B126,'MIS FINANZAS'!$B$7:$F$103,5,0),""))))</f>
        <v/>
      </c>
      <c r="H126" s="17" t="str">
        <f t="shared" si="2"/>
        <v/>
      </c>
      <c r="I126" s="196" t="str">
        <f t="shared" si="3"/>
        <v/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>
        <v>120.0</v>
      </c>
      <c r="AB126" s="1" t="str">
        <f>IFERROR(IFERROR(VLOOKUP(AA126,'MIS FINANZAS'!$AQ$7:$AR$103,2,0),VLOOKUP(AA126,'MIS FINANZAS'!$AS$7:$AT$103,2,0)),"")</f>
        <v/>
      </c>
    </row>
    <row r="127" ht="15.75" customHeight="1">
      <c r="A127" s="1"/>
      <c r="B127" s="14" t="str">
        <f t="shared" si="1"/>
        <v/>
      </c>
      <c r="C127" s="119" t="str">
        <f>IF(B127="","",IF((IFERROR(MATCH(B127,'MIS FINANZAS'!$B$7:$B$103,0),0))&gt;0,"Ingreso","Gasto"))</f>
        <v/>
      </c>
      <c r="D127" s="119" t="str">
        <f>IFERROR(IF(C127="Ingreso",VLOOKUP(B127,'MIS FINANZAS'!$B$7:$F$103,2,0),VLOOKUP(B127,'MIS FINANZAS'!$H$7:$L$103,2,0)),"")</f>
        <v/>
      </c>
      <c r="E127" s="119" t="str">
        <f>IFERROR(IFERROR(VLOOKUP(B127,'MIS FINANZAS'!$B$7:$F$103,4,0),VLOOKUP(B127,'MIS FINANZAS'!$H$7:$L$103,4,0)),"")</f>
        <v/>
      </c>
      <c r="F127" s="119" t="str">
        <f>IFERROR(IF(C127="Ingreso",VLOOKUP(B127,'MIS FINANZAS'!$B$7:$F$103,3,0),VLOOKUP(B127,'MIS FINANZAS'!$H$7:$L$103,3,0)),"")</f>
        <v/>
      </c>
      <c r="G127" s="196" t="str">
        <f>IF(D127="No tan necesario",VLOOKUP(B127,'OPORTUNIDADES DE MEJORA'!$AL$7:$AQ$103,6,0),IF(D127="No necesario",VLOOKUP(B127,'OPORTUNIDADES DE MEJORA'!$AL$7:$AQ$103,6,0),IF(D127="Necesario",VLOOKUP(B127,'MIS FINANZAS'!$H$7:$L$103,5,0),IF(C127="Ingreso",VLOOKUP(B127,'MIS FINANZAS'!$B$7:$F$103,5,0),""))))</f>
        <v/>
      </c>
      <c r="H127" s="17" t="str">
        <f t="shared" si="2"/>
        <v/>
      </c>
      <c r="I127" s="196" t="str">
        <f t="shared" si="3"/>
        <v/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>
        <v>121.0</v>
      </c>
      <c r="AB127" s="1" t="str">
        <f>IFERROR(IFERROR(VLOOKUP(AA127,'MIS FINANZAS'!$AQ$7:$AR$103,2,0),VLOOKUP(AA127,'MIS FINANZAS'!$AS$7:$AT$103,2,0)),"")</f>
        <v/>
      </c>
    </row>
    <row r="128" ht="15.75" customHeight="1">
      <c r="A128" s="1"/>
      <c r="B128" s="14" t="str">
        <f t="shared" si="1"/>
        <v/>
      </c>
      <c r="C128" s="119" t="str">
        <f>IF(B128="","",IF((IFERROR(MATCH(B128,'MIS FINANZAS'!$B$7:$B$103,0),0))&gt;0,"Ingreso","Gasto"))</f>
        <v/>
      </c>
      <c r="D128" s="119" t="str">
        <f>IFERROR(IF(C128="Ingreso",VLOOKUP(B128,'MIS FINANZAS'!$B$7:$F$103,2,0),VLOOKUP(B128,'MIS FINANZAS'!$H$7:$L$103,2,0)),"")</f>
        <v/>
      </c>
      <c r="E128" s="119" t="str">
        <f>IFERROR(IFERROR(VLOOKUP(B128,'MIS FINANZAS'!$B$7:$F$103,4,0),VLOOKUP(B128,'MIS FINANZAS'!$H$7:$L$103,4,0)),"")</f>
        <v/>
      </c>
      <c r="F128" s="119" t="str">
        <f>IFERROR(IF(C128="Ingreso",VLOOKUP(B128,'MIS FINANZAS'!$B$7:$F$103,3,0),VLOOKUP(B128,'MIS FINANZAS'!$H$7:$L$103,3,0)),"")</f>
        <v/>
      </c>
      <c r="G128" s="196" t="str">
        <f>IF(D128="No tan necesario",VLOOKUP(B128,'OPORTUNIDADES DE MEJORA'!$AL$7:$AQ$103,6,0),IF(D128="No necesario",VLOOKUP(B128,'OPORTUNIDADES DE MEJORA'!$AL$7:$AQ$103,6,0),IF(D128="Necesario",VLOOKUP(B128,'MIS FINANZAS'!$H$7:$L$103,5,0),IF(C128="Ingreso",VLOOKUP(B128,'MIS FINANZAS'!$B$7:$F$103,5,0),""))))</f>
        <v/>
      </c>
      <c r="H128" s="17" t="str">
        <f t="shared" si="2"/>
        <v/>
      </c>
      <c r="I128" s="196" t="str">
        <f t="shared" si="3"/>
        <v/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>
        <v>122.0</v>
      </c>
      <c r="AB128" s="1" t="str">
        <f>IFERROR(IFERROR(VLOOKUP(AA128,'MIS FINANZAS'!$AQ$7:$AR$103,2,0),VLOOKUP(AA128,'MIS FINANZAS'!$AS$7:$AT$103,2,0)),"")</f>
        <v/>
      </c>
    </row>
    <row r="129" ht="15.75" customHeight="1">
      <c r="A129" s="1"/>
      <c r="B129" s="14" t="str">
        <f t="shared" si="1"/>
        <v/>
      </c>
      <c r="C129" s="119" t="str">
        <f>IF(B129="","",IF((IFERROR(MATCH(B129,'MIS FINANZAS'!$B$7:$B$103,0),0))&gt;0,"Ingreso","Gasto"))</f>
        <v/>
      </c>
      <c r="D129" s="119" t="str">
        <f>IFERROR(IF(C129="Ingreso",VLOOKUP(B129,'MIS FINANZAS'!$B$7:$F$103,2,0),VLOOKUP(B129,'MIS FINANZAS'!$H$7:$L$103,2,0)),"")</f>
        <v/>
      </c>
      <c r="E129" s="119" t="str">
        <f>IFERROR(IFERROR(VLOOKUP(B129,'MIS FINANZAS'!$B$7:$F$103,4,0),VLOOKUP(B129,'MIS FINANZAS'!$H$7:$L$103,4,0)),"")</f>
        <v/>
      </c>
      <c r="F129" s="119" t="str">
        <f>IFERROR(IF(C129="Ingreso",VLOOKUP(B129,'MIS FINANZAS'!$B$7:$F$103,3,0),VLOOKUP(B129,'MIS FINANZAS'!$H$7:$L$103,3,0)),"")</f>
        <v/>
      </c>
      <c r="G129" s="196" t="str">
        <f>IF(D129="No tan necesario",VLOOKUP(B129,'OPORTUNIDADES DE MEJORA'!$AL$7:$AQ$103,6,0),IF(D129="No necesario",VLOOKUP(B129,'OPORTUNIDADES DE MEJORA'!$AL$7:$AQ$103,6,0),IF(D129="Necesario",VLOOKUP(B129,'MIS FINANZAS'!$H$7:$L$103,5,0),IF(C129="Ingreso",VLOOKUP(B129,'MIS FINANZAS'!$B$7:$F$103,5,0),""))))</f>
        <v/>
      </c>
      <c r="H129" s="17" t="str">
        <f t="shared" si="2"/>
        <v/>
      </c>
      <c r="I129" s="196" t="str">
        <f t="shared" si="3"/>
        <v/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>
        <v>123.0</v>
      </c>
      <c r="AB129" s="1" t="str">
        <f>IFERROR(IFERROR(VLOOKUP(AA129,'MIS FINANZAS'!$AQ$7:$AR$103,2,0),VLOOKUP(AA129,'MIS FINANZAS'!$AS$7:$AT$103,2,0)),"")</f>
        <v/>
      </c>
    </row>
    <row r="130" ht="15.75" customHeight="1">
      <c r="A130" s="1"/>
      <c r="B130" s="14" t="str">
        <f t="shared" si="1"/>
        <v/>
      </c>
      <c r="C130" s="119" t="str">
        <f>IF(B130="","",IF((IFERROR(MATCH(B130,'MIS FINANZAS'!$B$7:$B$103,0),0))&gt;0,"Ingreso","Gasto"))</f>
        <v/>
      </c>
      <c r="D130" s="119" t="str">
        <f>IFERROR(IF(C130="Ingreso",VLOOKUP(B130,'MIS FINANZAS'!$B$7:$F$103,2,0),VLOOKUP(B130,'MIS FINANZAS'!$H$7:$L$103,2,0)),"")</f>
        <v/>
      </c>
      <c r="E130" s="119" t="str">
        <f>IFERROR(IFERROR(VLOOKUP(B130,'MIS FINANZAS'!$B$7:$F$103,4,0),VLOOKUP(B130,'MIS FINANZAS'!$H$7:$L$103,4,0)),"")</f>
        <v/>
      </c>
      <c r="F130" s="119" t="str">
        <f>IFERROR(IF(C130="Ingreso",VLOOKUP(B130,'MIS FINANZAS'!$B$7:$F$103,3,0),VLOOKUP(B130,'MIS FINANZAS'!$H$7:$L$103,3,0)),"")</f>
        <v/>
      </c>
      <c r="G130" s="196" t="str">
        <f>IF(D130="No tan necesario",VLOOKUP(B130,'OPORTUNIDADES DE MEJORA'!$AL$7:$AQ$103,6,0),IF(D130="No necesario",VLOOKUP(B130,'OPORTUNIDADES DE MEJORA'!$AL$7:$AQ$103,6,0),IF(D130="Necesario",VLOOKUP(B130,'MIS FINANZAS'!$H$7:$L$103,5,0),IF(C130="Ingreso",VLOOKUP(B130,'MIS FINANZAS'!$B$7:$F$103,5,0),""))))</f>
        <v/>
      </c>
      <c r="H130" s="17" t="str">
        <f t="shared" si="2"/>
        <v/>
      </c>
      <c r="I130" s="196" t="str">
        <f t="shared" si="3"/>
        <v/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>
        <v>124.0</v>
      </c>
      <c r="AB130" s="1" t="str">
        <f>IFERROR(IFERROR(VLOOKUP(AA130,'MIS FINANZAS'!$AQ$7:$AR$103,2,0),VLOOKUP(AA130,'MIS FINANZAS'!$AS$7:$AT$103,2,0)),"")</f>
        <v/>
      </c>
    </row>
    <row r="131" ht="15.75" customHeight="1">
      <c r="A131" s="1"/>
      <c r="B131" s="14" t="str">
        <f t="shared" si="1"/>
        <v/>
      </c>
      <c r="C131" s="119" t="str">
        <f>IF(B131="","",IF((IFERROR(MATCH(B131,'MIS FINANZAS'!$B$7:$B$103,0),0))&gt;0,"Ingreso","Gasto"))</f>
        <v/>
      </c>
      <c r="D131" s="119" t="str">
        <f>IFERROR(IF(C131="Ingreso",VLOOKUP(B131,'MIS FINANZAS'!$B$7:$F$103,2,0),VLOOKUP(B131,'MIS FINANZAS'!$H$7:$L$103,2,0)),"")</f>
        <v/>
      </c>
      <c r="E131" s="119" t="str">
        <f>IFERROR(IFERROR(VLOOKUP(B131,'MIS FINANZAS'!$B$7:$F$103,4,0),VLOOKUP(B131,'MIS FINANZAS'!$H$7:$L$103,4,0)),"")</f>
        <v/>
      </c>
      <c r="F131" s="119" t="str">
        <f>IFERROR(IF(C131="Ingreso",VLOOKUP(B131,'MIS FINANZAS'!$B$7:$F$103,3,0),VLOOKUP(B131,'MIS FINANZAS'!$H$7:$L$103,3,0)),"")</f>
        <v/>
      </c>
      <c r="G131" s="196" t="str">
        <f>IF(D131="No tan necesario",VLOOKUP(B131,'OPORTUNIDADES DE MEJORA'!$AL$7:$AQ$103,6,0),IF(D131="No necesario",VLOOKUP(B131,'OPORTUNIDADES DE MEJORA'!$AL$7:$AQ$103,6,0),IF(D131="Necesario",VLOOKUP(B131,'MIS FINANZAS'!$H$7:$L$103,5,0),IF(C131="Ingreso",VLOOKUP(B131,'MIS FINANZAS'!$B$7:$F$103,5,0),""))))</f>
        <v/>
      </c>
      <c r="H131" s="17" t="str">
        <f t="shared" si="2"/>
        <v/>
      </c>
      <c r="I131" s="196" t="str">
        <f t="shared" si="3"/>
        <v/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>
        <v>125.0</v>
      </c>
      <c r="AB131" s="1" t="str">
        <f>IFERROR(IFERROR(VLOOKUP(AA131,'MIS FINANZAS'!$AQ$7:$AR$103,2,0),VLOOKUP(AA131,'MIS FINANZAS'!$AS$7:$AT$103,2,0)),"")</f>
        <v/>
      </c>
    </row>
    <row r="132" ht="15.75" customHeight="1">
      <c r="A132" s="1"/>
      <c r="B132" s="14" t="str">
        <f t="shared" si="1"/>
        <v/>
      </c>
      <c r="C132" s="119" t="str">
        <f>IF(B132="","",IF((IFERROR(MATCH(B132,'MIS FINANZAS'!$B$7:$B$103,0),0))&gt;0,"Ingreso","Gasto"))</f>
        <v/>
      </c>
      <c r="D132" s="119" t="str">
        <f>IFERROR(IF(C132="Ingreso",VLOOKUP(B132,'MIS FINANZAS'!$B$7:$F$103,2,0),VLOOKUP(B132,'MIS FINANZAS'!$H$7:$L$103,2,0)),"")</f>
        <v/>
      </c>
      <c r="E132" s="119" t="str">
        <f>IFERROR(IFERROR(VLOOKUP(B132,'MIS FINANZAS'!$B$7:$F$103,4,0),VLOOKUP(B132,'MIS FINANZAS'!$H$7:$L$103,4,0)),"")</f>
        <v/>
      </c>
      <c r="F132" s="119" t="str">
        <f>IFERROR(IF(C132="Ingreso",VLOOKUP(B132,'MIS FINANZAS'!$B$7:$F$103,3,0),VLOOKUP(B132,'MIS FINANZAS'!$H$7:$L$103,3,0)),"")</f>
        <v/>
      </c>
      <c r="G132" s="196" t="str">
        <f>IF(D132="No tan necesario",VLOOKUP(B132,'OPORTUNIDADES DE MEJORA'!$AL$7:$AQ$103,6,0),IF(D132="No necesario",VLOOKUP(B132,'OPORTUNIDADES DE MEJORA'!$AL$7:$AQ$103,6,0),IF(D132="Necesario",VLOOKUP(B132,'MIS FINANZAS'!$H$7:$L$103,5,0),IF(C132="Ingreso",VLOOKUP(B132,'MIS FINANZAS'!$B$7:$F$103,5,0),""))))</f>
        <v/>
      </c>
      <c r="H132" s="17" t="str">
        <f t="shared" si="2"/>
        <v/>
      </c>
      <c r="I132" s="196" t="str">
        <f t="shared" si="3"/>
        <v/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>
        <v>126.0</v>
      </c>
      <c r="AB132" s="1" t="str">
        <f>IFERROR(IFERROR(VLOOKUP(AA132,'MIS FINANZAS'!$AQ$7:$AR$103,2,0),VLOOKUP(AA132,'MIS FINANZAS'!$AS$7:$AT$103,2,0)),"")</f>
        <v/>
      </c>
    </row>
    <row r="133" ht="15.75" customHeight="1">
      <c r="A133" s="1"/>
      <c r="B133" s="14" t="str">
        <f t="shared" si="1"/>
        <v/>
      </c>
      <c r="C133" s="119" t="str">
        <f>IF(B133="","",IF((IFERROR(MATCH(B133,'MIS FINANZAS'!$B$7:$B$103,0),0))&gt;0,"Ingreso","Gasto"))</f>
        <v/>
      </c>
      <c r="D133" s="119" t="str">
        <f>IFERROR(IF(C133="Ingreso",VLOOKUP(B133,'MIS FINANZAS'!$B$7:$F$103,2,0),VLOOKUP(B133,'MIS FINANZAS'!$H$7:$L$103,2,0)),"")</f>
        <v/>
      </c>
      <c r="E133" s="119" t="str">
        <f>IFERROR(IFERROR(VLOOKUP(B133,'MIS FINANZAS'!$B$7:$F$103,4,0),VLOOKUP(B133,'MIS FINANZAS'!$H$7:$L$103,4,0)),"")</f>
        <v/>
      </c>
      <c r="F133" s="119" t="str">
        <f>IFERROR(IF(C133="Ingreso",VLOOKUP(B133,'MIS FINANZAS'!$B$7:$F$103,3,0),VLOOKUP(B133,'MIS FINANZAS'!$H$7:$L$103,3,0)),"")</f>
        <v/>
      </c>
      <c r="G133" s="196" t="str">
        <f>IF(D133="No tan necesario",VLOOKUP(B133,'OPORTUNIDADES DE MEJORA'!$AL$7:$AQ$103,6,0),IF(D133="No necesario",VLOOKUP(B133,'OPORTUNIDADES DE MEJORA'!$AL$7:$AQ$103,6,0),IF(D133="Necesario",VLOOKUP(B133,'MIS FINANZAS'!$H$7:$L$103,5,0),IF(C133="Ingreso",VLOOKUP(B133,'MIS FINANZAS'!$B$7:$F$103,5,0),""))))</f>
        <v/>
      </c>
      <c r="H133" s="17" t="str">
        <f t="shared" si="2"/>
        <v/>
      </c>
      <c r="I133" s="196" t="str">
        <f t="shared" si="3"/>
        <v/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>
        <v>127.0</v>
      </c>
      <c r="AB133" s="1" t="str">
        <f>IFERROR(IFERROR(VLOOKUP(AA133,'MIS FINANZAS'!$AQ$7:$AR$103,2,0),VLOOKUP(AA133,'MIS FINANZAS'!$AS$7:$AT$103,2,0)),"")</f>
        <v/>
      </c>
    </row>
    <row r="134" ht="15.75" customHeight="1">
      <c r="A134" s="1"/>
      <c r="B134" s="14" t="str">
        <f t="shared" si="1"/>
        <v/>
      </c>
      <c r="C134" s="119" t="str">
        <f>IF(B134="","",IF((IFERROR(MATCH(B134,'MIS FINANZAS'!$B$7:$B$103,0),0))&gt;0,"Ingreso","Gasto"))</f>
        <v/>
      </c>
      <c r="D134" s="119" t="str">
        <f>IFERROR(IF(C134="Ingreso",VLOOKUP(B134,'MIS FINANZAS'!$B$7:$F$103,2,0),VLOOKUP(B134,'MIS FINANZAS'!$H$7:$L$103,2,0)),"")</f>
        <v/>
      </c>
      <c r="E134" s="119" t="str">
        <f>IFERROR(IFERROR(VLOOKUP(B134,'MIS FINANZAS'!$B$7:$F$103,4,0),VLOOKUP(B134,'MIS FINANZAS'!$H$7:$L$103,4,0)),"")</f>
        <v/>
      </c>
      <c r="F134" s="119" t="str">
        <f>IFERROR(IF(C134="Ingreso",VLOOKUP(B134,'MIS FINANZAS'!$B$7:$F$103,3,0),VLOOKUP(B134,'MIS FINANZAS'!$H$7:$L$103,3,0)),"")</f>
        <v/>
      </c>
      <c r="G134" s="196" t="str">
        <f>IF(D134="No tan necesario",VLOOKUP(B134,'OPORTUNIDADES DE MEJORA'!$AL$7:$AQ$103,6,0),IF(D134="No necesario",VLOOKUP(B134,'OPORTUNIDADES DE MEJORA'!$AL$7:$AQ$103,6,0),IF(D134="Necesario",VLOOKUP(B134,'MIS FINANZAS'!$H$7:$L$103,5,0),IF(C134="Ingreso",VLOOKUP(B134,'MIS FINANZAS'!$B$7:$F$103,5,0),""))))</f>
        <v/>
      </c>
      <c r="H134" s="17" t="str">
        <f t="shared" si="2"/>
        <v/>
      </c>
      <c r="I134" s="196" t="str">
        <f t="shared" si="3"/>
        <v/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>
        <v>128.0</v>
      </c>
      <c r="AB134" s="1" t="str">
        <f>IFERROR(IFERROR(VLOOKUP(AA134,'MIS FINANZAS'!$AQ$7:$AR$103,2,0),VLOOKUP(AA134,'MIS FINANZAS'!$AS$7:$AT$103,2,0)),"")</f>
        <v/>
      </c>
    </row>
    <row r="135" ht="15.75" customHeight="1">
      <c r="A135" s="1"/>
      <c r="B135" s="14" t="str">
        <f t="shared" si="1"/>
        <v/>
      </c>
      <c r="C135" s="119" t="str">
        <f>IF(B135="","",IF((IFERROR(MATCH(B135,'MIS FINANZAS'!$B$7:$B$103,0),0))&gt;0,"Ingreso","Gasto"))</f>
        <v/>
      </c>
      <c r="D135" s="119" t="str">
        <f>IFERROR(IF(C135="Ingreso",VLOOKUP(B135,'MIS FINANZAS'!$B$7:$F$103,2,0),VLOOKUP(B135,'MIS FINANZAS'!$H$7:$L$103,2,0)),"")</f>
        <v/>
      </c>
      <c r="E135" s="119" t="str">
        <f>IFERROR(IFERROR(VLOOKUP(B135,'MIS FINANZAS'!$B$7:$F$103,4,0),VLOOKUP(B135,'MIS FINANZAS'!$H$7:$L$103,4,0)),"")</f>
        <v/>
      </c>
      <c r="F135" s="119" t="str">
        <f>IFERROR(IF(C135="Ingreso",VLOOKUP(B135,'MIS FINANZAS'!$B$7:$F$103,3,0),VLOOKUP(B135,'MIS FINANZAS'!$H$7:$L$103,3,0)),"")</f>
        <v/>
      </c>
      <c r="G135" s="196" t="str">
        <f>IF(D135="No tan necesario",VLOOKUP(B135,'OPORTUNIDADES DE MEJORA'!$AL$7:$AQ$103,6,0),IF(D135="No necesario",VLOOKUP(B135,'OPORTUNIDADES DE MEJORA'!$AL$7:$AQ$103,6,0),IF(D135="Necesario",VLOOKUP(B135,'MIS FINANZAS'!$H$7:$L$103,5,0),IF(C135="Ingreso",VLOOKUP(B135,'MIS FINANZAS'!$B$7:$F$103,5,0),""))))</f>
        <v/>
      </c>
      <c r="H135" s="17" t="str">
        <f t="shared" si="2"/>
        <v/>
      </c>
      <c r="I135" s="196" t="str">
        <f t="shared" si="3"/>
        <v/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>
        <v>129.0</v>
      </c>
      <c r="AB135" s="1" t="str">
        <f>IFERROR(IFERROR(VLOOKUP(AA135,'MIS FINANZAS'!$AQ$7:$AR$103,2,0),VLOOKUP(AA135,'MIS FINANZAS'!$AS$7:$AT$103,2,0)),"")</f>
        <v/>
      </c>
    </row>
    <row r="136" ht="15.75" customHeight="1">
      <c r="A136" s="1"/>
      <c r="B136" s="14" t="str">
        <f t="shared" si="1"/>
        <v/>
      </c>
      <c r="C136" s="119" t="str">
        <f>IF(B136="","",IF((IFERROR(MATCH(B136,'MIS FINANZAS'!$B$7:$B$103,0),0))&gt;0,"Ingreso","Gasto"))</f>
        <v/>
      </c>
      <c r="D136" s="119" t="str">
        <f>IFERROR(IF(C136="Ingreso",VLOOKUP(B136,'MIS FINANZAS'!$B$7:$F$103,2,0),VLOOKUP(B136,'MIS FINANZAS'!$H$7:$L$103,2,0)),"")</f>
        <v/>
      </c>
      <c r="E136" s="119" t="str">
        <f>IFERROR(IFERROR(VLOOKUP(B136,'MIS FINANZAS'!$B$7:$F$103,4,0),VLOOKUP(B136,'MIS FINANZAS'!$H$7:$L$103,4,0)),"")</f>
        <v/>
      </c>
      <c r="F136" s="119" t="str">
        <f>IFERROR(IF(C136="Ingreso",VLOOKUP(B136,'MIS FINANZAS'!$B$7:$F$103,3,0),VLOOKUP(B136,'MIS FINANZAS'!$H$7:$L$103,3,0)),"")</f>
        <v/>
      </c>
      <c r="G136" s="196" t="str">
        <f>IF(D136="No tan necesario",VLOOKUP(B136,'OPORTUNIDADES DE MEJORA'!$AL$7:$AQ$103,6,0),IF(D136="No necesario",VLOOKUP(B136,'OPORTUNIDADES DE MEJORA'!$AL$7:$AQ$103,6,0),IF(D136="Necesario",VLOOKUP(B136,'MIS FINANZAS'!$H$7:$L$103,5,0),IF(C136="Ingreso",VLOOKUP(B136,'MIS FINANZAS'!$B$7:$F$103,5,0),""))))</f>
        <v/>
      </c>
      <c r="H136" s="17" t="str">
        <f t="shared" si="2"/>
        <v/>
      </c>
      <c r="I136" s="196" t="str">
        <f t="shared" si="3"/>
        <v/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>
        <v>130.0</v>
      </c>
      <c r="AB136" s="1" t="str">
        <f>IFERROR(IFERROR(VLOOKUP(AA136,'MIS FINANZAS'!$AQ$7:$AR$103,2,0),VLOOKUP(AA136,'MIS FINANZAS'!$AS$7:$AT$103,2,0)),"")</f>
        <v/>
      </c>
    </row>
    <row r="137" ht="15.75" customHeight="1">
      <c r="A137" s="1"/>
      <c r="B137" s="14" t="str">
        <f t="shared" si="1"/>
        <v/>
      </c>
      <c r="C137" s="119" t="str">
        <f>IF(B137="","",IF((IFERROR(MATCH(B137,'MIS FINANZAS'!$B$7:$B$103,0),0))&gt;0,"Ingreso","Gasto"))</f>
        <v/>
      </c>
      <c r="D137" s="119" t="str">
        <f>IFERROR(IF(C137="Ingreso",VLOOKUP(B137,'MIS FINANZAS'!$B$7:$F$103,2,0),VLOOKUP(B137,'MIS FINANZAS'!$H$7:$L$103,2,0)),"")</f>
        <v/>
      </c>
      <c r="E137" s="119" t="str">
        <f>IFERROR(IFERROR(VLOOKUP(B137,'MIS FINANZAS'!$B$7:$F$103,4,0),VLOOKUP(B137,'MIS FINANZAS'!$H$7:$L$103,4,0)),"")</f>
        <v/>
      </c>
      <c r="F137" s="119" t="str">
        <f>IFERROR(IF(C137="Ingreso",VLOOKUP(B137,'MIS FINANZAS'!$B$7:$F$103,3,0),VLOOKUP(B137,'MIS FINANZAS'!$H$7:$L$103,3,0)),"")</f>
        <v/>
      </c>
      <c r="G137" s="196" t="str">
        <f>IF(D137="No tan necesario",VLOOKUP(B137,'OPORTUNIDADES DE MEJORA'!$AL$7:$AQ$103,6,0),IF(D137="No necesario",VLOOKUP(B137,'OPORTUNIDADES DE MEJORA'!$AL$7:$AQ$103,6,0),IF(D137="Necesario",VLOOKUP(B137,'MIS FINANZAS'!$H$7:$L$103,5,0),IF(C137="Ingreso",VLOOKUP(B137,'MIS FINANZAS'!$B$7:$F$103,5,0),""))))</f>
        <v/>
      </c>
      <c r="H137" s="17" t="str">
        <f t="shared" si="2"/>
        <v/>
      </c>
      <c r="I137" s="196" t="str">
        <f t="shared" si="3"/>
        <v/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>
        <v>131.0</v>
      </c>
      <c r="AB137" s="1" t="str">
        <f>IFERROR(IFERROR(VLOOKUP(AA137,'MIS FINANZAS'!$AQ$7:$AR$103,2,0),VLOOKUP(AA137,'MIS FINANZAS'!$AS$7:$AT$103,2,0)),"")</f>
        <v/>
      </c>
    </row>
    <row r="138" ht="15.75" customHeight="1">
      <c r="A138" s="1"/>
      <c r="B138" s="14" t="str">
        <f t="shared" si="1"/>
        <v/>
      </c>
      <c r="C138" s="119" t="str">
        <f>IF(B138="","",IF((IFERROR(MATCH(B138,'MIS FINANZAS'!$B$7:$B$103,0),0))&gt;0,"Ingreso","Gasto"))</f>
        <v/>
      </c>
      <c r="D138" s="119" t="str">
        <f>IFERROR(IF(C138="Ingreso",VLOOKUP(B138,'MIS FINANZAS'!$B$7:$F$103,2,0),VLOOKUP(B138,'MIS FINANZAS'!$H$7:$L$103,2,0)),"")</f>
        <v/>
      </c>
      <c r="E138" s="119" t="str">
        <f>IFERROR(IFERROR(VLOOKUP(B138,'MIS FINANZAS'!$B$7:$F$103,4,0),VLOOKUP(B138,'MIS FINANZAS'!$H$7:$L$103,4,0)),"")</f>
        <v/>
      </c>
      <c r="F138" s="119" t="str">
        <f>IFERROR(IF(C138="Ingreso",VLOOKUP(B138,'MIS FINANZAS'!$B$7:$F$103,3,0),VLOOKUP(B138,'MIS FINANZAS'!$H$7:$L$103,3,0)),"")</f>
        <v/>
      </c>
      <c r="G138" s="196" t="str">
        <f>IF(D138="No tan necesario",VLOOKUP(B138,'OPORTUNIDADES DE MEJORA'!$AL$7:$AQ$103,6,0),IF(D138="No necesario",VLOOKUP(B138,'OPORTUNIDADES DE MEJORA'!$AL$7:$AQ$103,6,0),IF(D138="Necesario",VLOOKUP(B138,'MIS FINANZAS'!$H$7:$L$103,5,0),IF(C138="Ingreso",VLOOKUP(B138,'MIS FINANZAS'!$B$7:$F$103,5,0),""))))</f>
        <v/>
      </c>
      <c r="H138" s="17" t="str">
        <f t="shared" si="2"/>
        <v/>
      </c>
      <c r="I138" s="196" t="str">
        <f t="shared" si="3"/>
        <v/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>
        <v>132.0</v>
      </c>
      <c r="AB138" s="1" t="str">
        <f>IFERROR(IFERROR(VLOOKUP(AA138,'MIS FINANZAS'!$AQ$7:$AR$103,2,0),VLOOKUP(AA138,'MIS FINANZAS'!$AS$7:$AT$103,2,0)),"")</f>
        <v/>
      </c>
    </row>
    <row r="139" ht="15.75" customHeight="1">
      <c r="A139" s="1"/>
      <c r="B139" s="14" t="str">
        <f t="shared" si="1"/>
        <v/>
      </c>
      <c r="C139" s="119" t="str">
        <f>IF(B139="","",IF((IFERROR(MATCH(B139,'MIS FINANZAS'!$B$7:$B$103,0),0))&gt;0,"Ingreso","Gasto"))</f>
        <v/>
      </c>
      <c r="D139" s="119" t="str">
        <f>IFERROR(IF(C139="Ingreso",VLOOKUP(B139,'MIS FINANZAS'!$B$7:$F$103,2,0),VLOOKUP(B139,'MIS FINANZAS'!$H$7:$L$103,2,0)),"")</f>
        <v/>
      </c>
      <c r="E139" s="119" t="str">
        <f>IFERROR(IFERROR(VLOOKUP(B139,'MIS FINANZAS'!$B$7:$F$103,4,0),VLOOKUP(B139,'MIS FINANZAS'!$H$7:$L$103,4,0)),"")</f>
        <v/>
      </c>
      <c r="F139" s="119" t="str">
        <f>IFERROR(IF(C139="Ingreso",VLOOKUP(B139,'MIS FINANZAS'!$B$7:$F$103,3,0),VLOOKUP(B139,'MIS FINANZAS'!$H$7:$L$103,3,0)),"")</f>
        <v/>
      </c>
      <c r="G139" s="196" t="str">
        <f>IF(D139="No tan necesario",VLOOKUP(B139,'OPORTUNIDADES DE MEJORA'!$AL$7:$AQ$103,6,0),IF(D139="No necesario",VLOOKUP(B139,'OPORTUNIDADES DE MEJORA'!$AL$7:$AQ$103,6,0),IF(D139="Necesario",VLOOKUP(B139,'MIS FINANZAS'!$H$7:$L$103,5,0),IF(C139="Ingreso",VLOOKUP(B139,'MIS FINANZAS'!$B$7:$F$103,5,0),""))))</f>
        <v/>
      </c>
      <c r="H139" s="17" t="str">
        <f t="shared" si="2"/>
        <v/>
      </c>
      <c r="I139" s="196" t="str">
        <f t="shared" si="3"/>
        <v/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>
        <v>133.0</v>
      </c>
      <c r="AB139" s="1" t="str">
        <f>IFERROR(IFERROR(VLOOKUP(AA139,'MIS FINANZAS'!$AQ$7:$AR$103,2,0),VLOOKUP(AA139,'MIS FINANZAS'!$AS$7:$AT$103,2,0)),"")</f>
        <v/>
      </c>
    </row>
    <row r="140" ht="15.75" customHeight="1">
      <c r="A140" s="1"/>
      <c r="B140" s="14" t="str">
        <f t="shared" si="1"/>
        <v/>
      </c>
      <c r="C140" s="119" t="str">
        <f>IF(B140="","",IF((IFERROR(MATCH(B140,'MIS FINANZAS'!$B$7:$B$103,0),0))&gt;0,"Ingreso","Gasto"))</f>
        <v/>
      </c>
      <c r="D140" s="119" t="str">
        <f>IFERROR(IF(C140="Ingreso",VLOOKUP(B140,'MIS FINANZAS'!$B$7:$F$103,2,0),VLOOKUP(B140,'MIS FINANZAS'!$H$7:$L$103,2,0)),"")</f>
        <v/>
      </c>
      <c r="E140" s="119" t="str">
        <f>IFERROR(IFERROR(VLOOKUP(B140,'MIS FINANZAS'!$B$7:$F$103,4,0),VLOOKUP(B140,'MIS FINANZAS'!$H$7:$L$103,4,0)),"")</f>
        <v/>
      </c>
      <c r="F140" s="119" t="str">
        <f>IFERROR(IF(C140="Ingreso",VLOOKUP(B140,'MIS FINANZAS'!$B$7:$F$103,3,0),VLOOKUP(B140,'MIS FINANZAS'!$H$7:$L$103,3,0)),"")</f>
        <v/>
      </c>
      <c r="G140" s="196" t="str">
        <f>IF(D140="No tan necesario",VLOOKUP(B140,'OPORTUNIDADES DE MEJORA'!$AL$7:$AQ$103,6,0),IF(D140="No necesario",VLOOKUP(B140,'OPORTUNIDADES DE MEJORA'!$AL$7:$AQ$103,6,0),IF(D140="Necesario",VLOOKUP(B140,'MIS FINANZAS'!$H$7:$L$103,5,0),IF(C140="Ingreso",VLOOKUP(B140,'MIS FINANZAS'!$B$7:$F$103,5,0),""))))</f>
        <v/>
      </c>
      <c r="H140" s="17" t="str">
        <f t="shared" si="2"/>
        <v/>
      </c>
      <c r="I140" s="196" t="str">
        <f t="shared" si="3"/>
        <v/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>
        <v>134.0</v>
      </c>
      <c r="AB140" s="1" t="str">
        <f>IFERROR(IFERROR(VLOOKUP(AA140,'MIS FINANZAS'!$AQ$7:$AR$103,2,0),VLOOKUP(AA140,'MIS FINANZAS'!$AS$7:$AT$103,2,0)),"")</f>
        <v/>
      </c>
    </row>
    <row r="141" ht="15.75" customHeight="1">
      <c r="A141" s="1"/>
      <c r="B141" s="14" t="str">
        <f t="shared" si="1"/>
        <v/>
      </c>
      <c r="C141" s="119" t="str">
        <f>IF(B141="","",IF((IFERROR(MATCH(B141,'MIS FINANZAS'!$B$7:$B$103,0),0))&gt;0,"Ingreso","Gasto"))</f>
        <v/>
      </c>
      <c r="D141" s="119" t="str">
        <f>IFERROR(IF(C141="Ingreso",VLOOKUP(B141,'MIS FINANZAS'!$B$7:$F$103,2,0),VLOOKUP(B141,'MIS FINANZAS'!$H$7:$L$103,2,0)),"")</f>
        <v/>
      </c>
      <c r="E141" s="119" t="str">
        <f>IFERROR(IFERROR(VLOOKUP(B141,'MIS FINANZAS'!$B$7:$F$103,4,0),VLOOKUP(B141,'MIS FINANZAS'!$H$7:$L$103,4,0)),"")</f>
        <v/>
      </c>
      <c r="F141" s="119" t="str">
        <f>IFERROR(IF(C141="Ingreso",VLOOKUP(B141,'MIS FINANZAS'!$B$7:$F$103,3,0),VLOOKUP(B141,'MIS FINANZAS'!$H$7:$L$103,3,0)),"")</f>
        <v/>
      </c>
      <c r="G141" s="196" t="str">
        <f>IF(D141="No tan necesario",VLOOKUP(B141,'OPORTUNIDADES DE MEJORA'!$AL$7:$AQ$103,6,0),IF(D141="No necesario",VLOOKUP(B141,'OPORTUNIDADES DE MEJORA'!$AL$7:$AQ$103,6,0),IF(D141="Necesario",VLOOKUP(B141,'MIS FINANZAS'!$H$7:$L$103,5,0),IF(C141="Ingreso",VLOOKUP(B141,'MIS FINANZAS'!$B$7:$F$103,5,0),""))))</f>
        <v/>
      </c>
      <c r="H141" s="17" t="str">
        <f t="shared" si="2"/>
        <v/>
      </c>
      <c r="I141" s="196" t="str">
        <f t="shared" si="3"/>
        <v/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>
        <v>135.0</v>
      </c>
      <c r="AB141" s="1" t="str">
        <f>IFERROR(IFERROR(VLOOKUP(AA141,'MIS FINANZAS'!$AQ$7:$AR$103,2,0),VLOOKUP(AA141,'MIS FINANZAS'!$AS$7:$AT$103,2,0)),"")</f>
        <v/>
      </c>
    </row>
    <row r="142" ht="15.75" customHeight="1">
      <c r="A142" s="1"/>
      <c r="B142" s="14" t="str">
        <f t="shared" si="1"/>
        <v/>
      </c>
      <c r="C142" s="119" t="str">
        <f>IF(B142="","",IF((IFERROR(MATCH(B142,'MIS FINANZAS'!$B$7:$B$103,0),0))&gt;0,"Ingreso","Gasto"))</f>
        <v/>
      </c>
      <c r="D142" s="119" t="str">
        <f>IFERROR(IF(C142="Ingreso",VLOOKUP(B142,'MIS FINANZAS'!$B$7:$F$103,2,0),VLOOKUP(B142,'MIS FINANZAS'!$H$7:$L$103,2,0)),"")</f>
        <v/>
      </c>
      <c r="E142" s="119" t="str">
        <f>IFERROR(IFERROR(VLOOKUP(B142,'MIS FINANZAS'!$B$7:$F$103,4,0),VLOOKUP(B142,'MIS FINANZAS'!$H$7:$L$103,4,0)),"")</f>
        <v/>
      </c>
      <c r="F142" s="119" t="str">
        <f>IFERROR(IF(C142="Ingreso",VLOOKUP(B142,'MIS FINANZAS'!$B$7:$F$103,3,0),VLOOKUP(B142,'MIS FINANZAS'!$H$7:$L$103,3,0)),"")</f>
        <v/>
      </c>
      <c r="G142" s="196" t="str">
        <f>IF(D142="No tan necesario",VLOOKUP(B142,'OPORTUNIDADES DE MEJORA'!$AL$7:$AQ$103,6,0),IF(D142="No necesario",VLOOKUP(B142,'OPORTUNIDADES DE MEJORA'!$AL$7:$AQ$103,6,0),IF(D142="Necesario",VLOOKUP(B142,'MIS FINANZAS'!$H$7:$L$103,5,0),IF(C142="Ingreso",VLOOKUP(B142,'MIS FINANZAS'!$B$7:$F$103,5,0),""))))</f>
        <v/>
      </c>
      <c r="H142" s="17" t="str">
        <f t="shared" si="2"/>
        <v/>
      </c>
      <c r="I142" s="196" t="str">
        <f t="shared" si="3"/>
        <v/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>
        <v>136.0</v>
      </c>
      <c r="AB142" s="1" t="str">
        <f>IFERROR(IFERROR(VLOOKUP(AA142,'MIS FINANZAS'!$AQ$7:$AR$103,2,0),VLOOKUP(AA142,'MIS FINANZAS'!$AS$7:$AT$103,2,0)),"")</f>
        <v/>
      </c>
    </row>
    <row r="143" ht="15.75" customHeight="1">
      <c r="A143" s="1"/>
      <c r="B143" s="14" t="str">
        <f t="shared" si="1"/>
        <v/>
      </c>
      <c r="C143" s="119" t="str">
        <f>IF(B143="","",IF((IFERROR(MATCH(B143,'MIS FINANZAS'!$B$7:$B$103,0),0))&gt;0,"Ingreso","Gasto"))</f>
        <v/>
      </c>
      <c r="D143" s="119" t="str">
        <f>IFERROR(IF(C143="Ingreso",VLOOKUP(B143,'MIS FINANZAS'!$B$7:$F$103,2,0),VLOOKUP(B143,'MIS FINANZAS'!$H$7:$L$103,2,0)),"")</f>
        <v/>
      </c>
      <c r="E143" s="119" t="str">
        <f>IFERROR(IFERROR(VLOOKUP(B143,'MIS FINANZAS'!$B$7:$F$103,4,0),VLOOKUP(B143,'MIS FINANZAS'!$H$7:$L$103,4,0)),"")</f>
        <v/>
      </c>
      <c r="F143" s="119" t="str">
        <f>IFERROR(IF(C143="Ingreso",VLOOKUP(B143,'MIS FINANZAS'!$B$7:$F$103,3,0),VLOOKUP(B143,'MIS FINANZAS'!$H$7:$L$103,3,0)),"")</f>
        <v/>
      </c>
      <c r="G143" s="196" t="str">
        <f>IF(D143="No tan necesario",VLOOKUP(B143,'OPORTUNIDADES DE MEJORA'!$AL$7:$AQ$103,6,0),IF(D143="No necesario",VLOOKUP(B143,'OPORTUNIDADES DE MEJORA'!$AL$7:$AQ$103,6,0),IF(D143="Necesario",VLOOKUP(B143,'MIS FINANZAS'!$H$7:$L$103,5,0),IF(C143="Ingreso",VLOOKUP(B143,'MIS FINANZAS'!$B$7:$F$103,5,0),""))))</f>
        <v/>
      </c>
      <c r="H143" s="17" t="str">
        <f t="shared" si="2"/>
        <v/>
      </c>
      <c r="I143" s="196" t="str">
        <f t="shared" si="3"/>
        <v/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>
        <v>137.0</v>
      </c>
      <c r="AB143" s="1" t="str">
        <f>IFERROR(IFERROR(VLOOKUP(AA143,'MIS FINANZAS'!$AQ$7:$AR$103,2,0),VLOOKUP(AA143,'MIS FINANZAS'!$AS$7:$AT$103,2,0)),"")</f>
        <v/>
      </c>
    </row>
    <row r="144" ht="15.75" customHeight="1">
      <c r="A144" s="1"/>
      <c r="B144" s="14" t="str">
        <f t="shared" si="1"/>
        <v/>
      </c>
      <c r="C144" s="119" t="str">
        <f>IF(B144="","",IF((IFERROR(MATCH(B144,'MIS FINANZAS'!$B$7:$B$103,0),0))&gt;0,"Ingreso","Gasto"))</f>
        <v/>
      </c>
      <c r="D144" s="119" t="str">
        <f>IFERROR(IF(C144="Ingreso",VLOOKUP(B144,'MIS FINANZAS'!$B$7:$F$103,2,0),VLOOKUP(B144,'MIS FINANZAS'!$H$7:$L$103,2,0)),"")</f>
        <v/>
      </c>
      <c r="E144" s="119" t="str">
        <f>IFERROR(IFERROR(VLOOKUP(B144,'MIS FINANZAS'!$B$7:$F$103,4,0),VLOOKUP(B144,'MIS FINANZAS'!$H$7:$L$103,4,0)),"")</f>
        <v/>
      </c>
      <c r="F144" s="119" t="str">
        <f>IFERROR(IF(C144="Ingreso",VLOOKUP(B144,'MIS FINANZAS'!$B$7:$F$103,3,0),VLOOKUP(B144,'MIS FINANZAS'!$H$7:$L$103,3,0)),"")</f>
        <v/>
      </c>
      <c r="G144" s="196" t="str">
        <f>IF(D144="No tan necesario",VLOOKUP(B144,'OPORTUNIDADES DE MEJORA'!$AL$7:$AQ$103,6,0),IF(D144="No necesario",VLOOKUP(B144,'OPORTUNIDADES DE MEJORA'!$AL$7:$AQ$103,6,0),IF(D144="Necesario",VLOOKUP(B144,'MIS FINANZAS'!$H$7:$L$103,5,0),IF(C144="Ingreso",VLOOKUP(B144,'MIS FINANZAS'!$B$7:$F$103,5,0),""))))</f>
        <v/>
      </c>
      <c r="H144" s="17" t="str">
        <f t="shared" si="2"/>
        <v/>
      </c>
      <c r="I144" s="196" t="str">
        <f t="shared" si="3"/>
        <v/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>
        <v>138.0</v>
      </c>
      <c r="AB144" s="1" t="str">
        <f>IFERROR(IFERROR(VLOOKUP(AA144,'MIS FINANZAS'!$AQ$7:$AR$103,2,0),VLOOKUP(AA144,'MIS FINANZAS'!$AS$7:$AT$103,2,0)),"")</f>
        <v/>
      </c>
    </row>
    <row r="145" ht="15.75" customHeight="1">
      <c r="A145" s="1"/>
      <c r="B145" s="14" t="str">
        <f t="shared" si="1"/>
        <v/>
      </c>
      <c r="C145" s="119" t="str">
        <f>IF(B145="","",IF((IFERROR(MATCH(B145,'MIS FINANZAS'!$B$7:$B$103,0),0))&gt;0,"Ingreso","Gasto"))</f>
        <v/>
      </c>
      <c r="D145" s="119" t="str">
        <f>IFERROR(IF(C145="Ingreso",VLOOKUP(B145,'MIS FINANZAS'!$B$7:$F$103,2,0),VLOOKUP(B145,'MIS FINANZAS'!$H$7:$L$103,2,0)),"")</f>
        <v/>
      </c>
      <c r="E145" s="119" t="str">
        <f>IFERROR(IFERROR(VLOOKUP(B145,'MIS FINANZAS'!$B$7:$F$103,4,0),VLOOKUP(B145,'MIS FINANZAS'!$H$7:$L$103,4,0)),"")</f>
        <v/>
      </c>
      <c r="F145" s="119" t="str">
        <f>IFERROR(IF(C145="Ingreso",VLOOKUP(B145,'MIS FINANZAS'!$B$7:$F$103,3,0),VLOOKUP(B145,'MIS FINANZAS'!$H$7:$L$103,3,0)),"")</f>
        <v/>
      </c>
      <c r="G145" s="196" t="str">
        <f>IF(D145="No tan necesario",VLOOKUP(B145,'OPORTUNIDADES DE MEJORA'!$AL$7:$AQ$103,6,0),IF(D145="No necesario",VLOOKUP(B145,'OPORTUNIDADES DE MEJORA'!$AL$7:$AQ$103,6,0),IF(D145="Necesario",VLOOKUP(B145,'MIS FINANZAS'!$H$7:$L$103,5,0),IF(C145="Ingreso",VLOOKUP(B145,'MIS FINANZAS'!$B$7:$F$103,5,0),""))))</f>
        <v/>
      </c>
      <c r="H145" s="17" t="str">
        <f t="shared" si="2"/>
        <v/>
      </c>
      <c r="I145" s="196" t="str">
        <f t="shared" si="3"/>
        <v/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>
        <v>139.0</v>
      </c>
      <c r="AB145" s="1" t="str">
        <f>IFERROR(IFERROR(VLOOKUP(AA145,'MIS FINANZAS'!$AQ$7:$AR$103,2,0),VLOOKUP(AA145,'MIS FINANZAS'!$AS$7:$AT$103,2,0)),"")</f>
        <v/>
      </c>
    </row>
    <row r="146" ht="15.75" customHeight="1">
      <c r="A146" s="1"/>
      <c r="B146" s="14" t="str">
        <f t="shared" si="1"/>
        <v/>
      </c>
      <c r="C146" s="119" t="str">
        <f>IF(B146="","",IF((IFERROR(MATCH(B146,'MIS FINANZAS'!$B$7:$B$103,0),0))&gt;0,"Ingreso","Gasto"))</f>
        <v/>
      </c>
      <c r="D146" s="119" t="str">
        <f>IFERROR(IF(C146="Ingreso",VLOOKUP(B146,'MIS FINANZAS'!$B$7:$F$103,2,0),VLOOKUP(B146,'MIS FINANZAS'!$H$7:$L$103,2,0)),"")</f>
        <v/>
      </c>
      <c r="E146" s="119" t="str">
        <f>IFERROR(IFERROR(VLOOKUP(B146,'MIS FINANZAS'!$B$7:$F$103,4,0),VLOOKUP(B146,'MIS FINANZAS'!$H$7:$L$103,4,0)),"")</f>
        <v/>
      </c>
      <c r="F146" s="119" t="str">
        <f>IFERROR(IF(C146="Ingreso",VLOOKUP(B146,'MIS FINANZAS'!$B$7:$F$103,3,0),VLOOKUP(B146,'MIS FINANZAS'!$H$7:$L$103,3,0)),"")</f>
        <v/>
      </c>
      <c r="G146" s="196" t="str">
        <f>IF(D146="No tan necesario",VLOOKUP(B146,'OPORTUNIDADES DE MEJORA'!$AL$7:$AQ$103,6,0),IF(D146="No necesario",VLOOKUP(B146,'OPORTUNIDADES DE MEJORA'!$AL$7:$AQ$103,6,0),IF(D146="Necesario",VLOOKUP(B146,'MIS FINANZAS'!$H$7:$L$103,5,0),IF(C146="Ingreso",VLOOKUP(B146,'MIS FINANZAS'!$B$7:$F$103,5,0),""))))</f>
        <v/>
      </c>
      <c r="H146" s="17" t="str">
        <f t="shared" si="2"/>
        <v/>
      </c>
      <c r="I146" s="196" t="str">
        <f t="shared" si="3"/>
        <v/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>
        <v>140.0</v>
      </c>
      <c r="AB146" s="1" t="str">
        <f>IFERROR(IFERROR(VLOOKUP(AA146,'MIS FINANZAS'!$AQ$7:$AR$103,2,0),VLOOKUP(AA146,'MIS FINANZAS'!$AS$7:$AT$103,2,0)),"")</f>
        <v/>
      </c>
    </row>
    <row r="147" ht="15.75" customHeight="1">
      <c r="A147" s="1"/>
      <c r="B147" s="14" t="str">
        <f t="shared" si="1"/>
        <v/>
      </c>
      <c r="C147" s="119" t="str">
        <f>IF(B147="","",IF((IFERROR(MATCH(B147,'MIS FINANZAS'!$B$7:$B$103,0),0))&gt;0,"Ingreso","Gasto"))</f>
        <v/>
      </c>
      <c r="D147" s="119" t="str">
        <f>IFERROR(IF(C147="Ingreso",VLOOKUP(B147,'MIS FINANZAS'!$B$7:$F$103,2,0),VLOOKUP(B147,'MIS FINANZAS'!$H$7:$L$103,2,0)),"")</f>
        <v/>
      </c>
      <c r="E147" s="119" t="str">
        <f>IFERROR(IFERROR(VLOOKUP(B147,'MIS FINANZAS'!$B$7:$F$103,4,0),VLOOKUP(B147,'MIS FINANZAS'!$H$7:$L$103,4,0)),"")</f>
        <v/>
      </c>
      <c r="F147" s="119" t="str">
        <f>IFERROR(IF(C147="Ingreso",VLOOKUP(B147,'MIS FINANZAS'!$B$7:$F$103,3,0),VLOOKUP(B147,'MIS FINANZAS'!$H$7:$L$103,3,0)),"")</f>
        <v/>
      </c>
      <c r="G147" s="196" t="str">
        <f>IF(D147="No tan necesario",VLOOKUP(B147,'OPORTUNIDADES DE MEJORA'!$AL$7:$AQ$103,6,0),IF(D147="No necesario",VLOOKUP(B147,'OPORTUNIDADES DE MEJORA'!$AL$7:$AQ$103,6,0),IF(D147="Necesario",VLOOKUP(B147,'MIS FINANZAS'!$H$7:$L$103,5,0),IF(C147="Ingreso",VLOOKUP(B147,'MIS FINANZAS'!$B$7:$F$103,5,0),""))))</f>
        <v/>
      </c>
      <c r="H147" s="17" t="str">
        <f t="shared" si="2"/>
        <v/>
      </c>
      <c r="I147" s="196" t="str">
        <f t="shared" si="3"/>
        <v/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>
        <v>141.0</v>
      </c>
      <c r="AB147" s="1" t="str">
        <f>IFERROR(IFERROR(VLOOKUP(AA147,'MIS FINANZAS'!$AQ$7:$AR$103,2,0),VLOOKUP(AA147,'MIS FINANZAS'!$AS$7:$AT$103,2,0)),"")</f>
        <v/>
      </c>
    </row>
    <row r="148" ht="15.75" customHeight="1">
      <c r="A148" s="1"/>
      <c r="B148" s="14" t="str">
        <f t="shared" si="1"/>
        <v/>
      </c>
      <c r="C148" s="119" t="str">
        <f>IF(B148="","",IF((IFERROR(MATCH(B148,'MIS FINANZAS'!$B$7:$B$103,0),0))&gt;0,"Ingreso","Gasto"))</f>
        <v/>
      </c>
      <c r="D148" s="119" t="str">
        <f>IFERROR(IF(C148="Ingreso",VLOOKUP(B148,'MIS FINANZAS'!$B$7:$F$103,2,0),VLOOKUP(B148,'MIS FINANZAS'!$H$7:$L$103,2,0)),"")</f>
        <v/>
      </c>
      <c r="E148" s="119" t="str">
        <f>IFERROR(IFERROR(VLOOKUP(B148,'MIS FINANZAS'!$B$7:$F$103,4,0),VLOOKUP(B148,'MIS FINANZAS'!$H$7:$L$103,4,0)),"")</f>
        <v/>
      </c>
      <c r="F148" s="119" t="str">
        <f>IFERROR(IF(C148="Ingreso",VLOOKUP(B148,'MIS FINANZAS'!$B$7:$F$103,3,0),VLOOKUP(B148,'MIS FINANZAS'!$H$7:$L$103,3,0)),"")</f>
        <v/>
      </c>
      <c r="G148" s="196" t="str">
        <f>IF(D148="No tan necesario",VLOOKUP(B148,'OPORTUNIDADES DE MEJORA'!$AL$7:$AQ$103,6,0),IF(D148="No necesario",VLOOKUP(B148,'OPORTUNIDADES DE MEJORA'!$AL$7:$AQ$103,6,0),IF(D148="Necesario",VLOOKUP(B148,'MIS FINANZAS'!$H$7:$L$103,5,0),IF(C148="Ingreso",VLOOKUP(B148,'MIS FINANZAS'!$B$7:$F$103,5,0),""))))</f>
        <v/>
      </c>
      <c r="H148" s="17" t="str">
        <f t="shared" si="2"/>
        <v/>
      </c>
      <c r="I148" s="196" t="str">
        <f t="shared" si="3"/>
        <v/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>
        <v>142.0</v>
      </c>
      <c r="AB148" s="1" t="str">
        <f>IFERROR(IFERROR(VLOOKUP(AA148,'MIS FINANZAS'!$AQ$7:$AR$103,2,0),VLOOKUP(AA148,'MIS FINANZAS'!$AS$7:$AT$103,2,0)),"")</f>
        <v/>
      </c>
    </row>
    <row r="149" ht="15.75" customHeight="1">
      <c r="A149" s="1"/>
      <c r="B149" s="14" t="str">
        <f t="shared" si="1"/>
        <v/>
      </c>
      <c r="C149" s="119" t="str">
        <f>IF(B149="","",IF((IFERROR(MATCH(B149,'MIS FINANZAS'!$B$7:$B$103,0),0))&gt;0,"Ingreso","Gasto"))</f>
        <v/>
      </c>
      <c r="D149" s="119" t="str">
        <f>IFERROR(IF(C149="Ingreso",VLOOKUP(B149,'MIS FINANZAS'!$B$7:$F$103,2,0),VLOOKUP(B149,'MIS FINANZAS'!$H$7:$L$103,2,0)),"")</f>
        <v/>
      </c>
      <c r="E149" s="119" t="str">
        <f>IFERROR(IFERROR(VLOOKUP(B149,'MIS FINANZAS'!$B$7:$F$103,4,0),VLOOKUP(B149,'MIS FINANZAS'!$H$7:$L$103,4,0)),"")</f>
        <v/>
      </c>
      <c r="F149" s="119" t="str">
        <f>IFERROR(IF(C149="Ingreso",VLOOKUP(B149,'MIS FINANZAS'!$B$7:$F$103,3,0),VLOOKUP(B149,'MIS FINANZAS'!$H$7:$L$103,3,0)),"")</f>
        <v/>
      </c>
      <c r="G149" s="196" t="str">
        <f>IF(D149="No tan necesario",VLOOKUP(B149,'OPORTUNIDADES DE MEJORA'!$AL$7:$AQ$103,6,0),IF(D149="No necesario",VLOOKUP(B149,'OPORTUNIDADES DE MEJORA'!$AL$7:$AQ$103,6,0),IF(D149="Necesario",VLOOKUP(B149,'MIS FINANZAS'!$H$7:$L$103,5,0),IF(C149="Ingreso",VLOOKUP(B149,'MIS FINANZAS'!$B$7:$F$103,5,0),""))))</f>
        <v/>
      </c>
      <c r="H149" s="17" t="str">
        <f t="shared" si="2"/>
        <v/>
      </c>
      <c r="I149" s="196" t="str">
        <f t="shared" si="3"/>
        <v/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>
        <v>143.0</v>
      </c>
      <c r="AB149" s="1" t="str">
        <f>IFERROR(IFERROR(VLOOKUP(AA149,'MIS FINANZAS'!$AQ$7:$AR$103,2,0),VLOOKUP(AA149,'MIS FINANZAS'!$AS$7:$AT$103,2,0)),"")</f>
        <v/>
      </c>
    </row>
    <row r="150" ht="15.75" customHeight="1">
      <c r="A150" s="1"/>
      <c r="B150" s="14" t="str">
        <f t="shared" si="1"/>
        <v/>
      </c>
      <c r="C150" s="119" t="str">
        <f>IF(B150="","",IF((IFERROR(MATCH(B150,'MIS FINANZAS'!$B$7:$B$103,0),0))&gt;0,"Ingreso","Gasto"))</f>
        <v/>
      </c>
      <c r="D150" s="119" t="str">
        <f>IFERROR(IF(C150="Ingreso",VLOOKUP(B150,'MIS FINANZAS'!$B$7:$F$103,2,0),VLOOKUP(B150,'MIS FINANZAS'!$H$7:$L$103,2,0)),"")</f>
        <v/>
      </c>
      <c r="E150" s="119" t="str">
        <f>IFERROR(IFERROR(VLOOKUP(B150,'MIS FINANZAS'!$B$7:$F$103,4,0),VLOOKUP(B150,'MIS FINANZAS'!$H$7:$L$103,4,0)),"")</f>
        <v/>
      </c>
      <c r="F150" s="119" t="str">
        <f>IFERROR(IF(C150="Ingreso",VLOOKUP(B150,'MIS FINANZAS'!$B$7:$F$103,3,0),VLOOKUP(B150,'MIS FINANZAS'!$H$7:$L$103,3,0)),"")</f>
        <v/>
      </c>
      <c r="G150" s="196" t="str">
        <f>IF(D150="No tan necesario",VLOOKUP(B150,'OPORTUNIDADES DE MEJORA'!$AL$7:$AQ$103,6,0),IF(D150="No necesario",VLOOKUP(B150,'OPORTUNIDADES DE MEJORA'!$AL$7:$AQ$103,6,0),IF(D150="Necesario",VLOOKUP(B150,'MIS FINANZAS'!$H$7:$L$103,5,0),IF(C150="Ingreso",VLOOKUP(B150,'MIS FINANZAS'!$B$7:$F$103,5,0),""))))</f>
        <v/>
      </c>
      <c r="H150" s="17" t="str">
        <f t="shared" si="2"/>
        <v/>
      </c>
      <c r="I150" s="196" t="str">
        <f t="shared" si="3"/>
        <v/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>
        <v>144.0</v>
      </c>
      <c r="AB150" s="1" t="str">
        <f>IFERROR(IFERROR(VLOOKUP(AA150,'MIS FINANZAS'!$AQ$7:$AR$103,2,0),VLOOKUP(AA150,'MIS FINANZAS'!$AS$7:$AT$103,2,0)),"")</f>
        <v/>
      </c>
    </row>
    <row r="151" ht="15.75" customHeight="1">
      <c r="A151" s="1"/>
      <c r="B151" s="14" t="str">
        <f t="shared" si="1"/>
        <v/>
      </c>
      <c r="C151" s="119" t="str">
        <f>IF(B151="","",IF((IFERROR(MATCH(B151,'MIS FINANZAS'!$B$7:$B$103,0),0))&gt;0,"Ingreso","Gasto"))</f>
        <v/>
      </c>
      <c r="D151" s="119" t="str">
        <f>IFERROR(IF(C151="Ingreso",VLOOKUP(B151,'MIS FINANZAS'!$B$7:$F$103,2,0),VLOOKUP(B151,'MIS FINANZAS'!$H$7:$L$103,2,0)),"")</f>
        <v/>
      </c>
      <c r="E151" s="119" t="str">
        <f>IFERROR(IFERROR(VLOOKUP(B151,'MIS FINANZAS'!$B$7:$F$103,4,0),VLOOKUP(B151,'MIS FINANZAS'!$H$7:$L$103,4,0)),"")</f>
        <v/>
      </c>
      <c r="F151" s="119" t="str">
        <f>IFERROR(IF(C151="Ingreso",VLOOKUP(B151,'MIS FINANZAS'!$B$7:$F$103,3,0),VLOOKUP(B151,'MIS FINANZAS'!$H$7:$L$103,3,0)),"")</f>
        <v/>
      </c>
      <c r="G151" s="196" t="str">
        <f>IF(D151="No tan necesario",VLOOKUP(B151,'OPORTUNIDADES DE MEJORA'!$AL$7:$AQ$103,6,0),IF(D151="No necesario",VLOOKUP(B151,'OPORTUNIDADES DE MEJORA'!$AL$7:$AQ$103,6,0),IF(D151="Necesario",VLOOKUP(B151,'MIS FINANZAS'!$H$7:$L$103,5,0),IF(C151="Ingreso",VLOOKUP(B151,'MIS FINANZAS'!$B$7:$F$103,5,0),""))))</f>
        <v/>
      </c>
      <c r="H151" s="17" t="str">
        <f t="shared" si="2"/>
        <v/>
      </c>
      <c r="I151" s="196" t="str">
        <f t="shared" si="3"/>
        <v/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>
        <v>145.0</v>
      </c>
      <c r="AB151" s="1" t="str">
        <f>IFERROR(IFERROR(VLOOKUP(AA151,'MIS FINANZAS'!$AQ$7:$AR$103,2,0),VLOOKUP(AA151,'MIS FINANZAS'!$AS$7:$AT$103,2,0)),"")</f>
        <v/>
      </c>
    </row>
    <row r="152" ht="15.75" customHeight="1">
      <c r="A152" s="1"/>
      <c r="B152" s="14" t="str">
        <f t="shared" si="1"/>
        <v/>
      </c>
      <c r="C152" s="119" t="str">
        <f>IF(B152="","",IF((IFERROR(MATCH(B152,'MIS FINANZAS'!$B$7:$B$103,0),0))&gt;0,"Ingreso","Gasto"))</f>
        <v/>
      </c>
      <c r="D152" s="119" t="str">
        <f>IFERROR(IF(C152="Ingreso",VLOOKUP(B152,'MIS FINANZAS'!$B$7:$F$103,2,0),VLOOKUP(B152,'MIS FINANZAS'!$H$7:$L$103,2,0)),"")</f>
        <v/>
      </c>
      <c r="E152" s="119" t="str">
        <f>IFERROR(IFERROR(VLOOKUP(B152,'MIS FINANZAS'!$B$7:$F$103,4,0),VLOOKUP(B152,'MIS FINANZAS'!$H$7:$L$103,4,0)),"")</f>
        <v/>
      </c>
      <c r="F152" s="119" t="str">
        <f>IFERROR(IF(C152="Ingreso",VLOOKUP(B152,'MIS FINANZAS'!$B$7:$F$103,3,0),VLOOKUP(B152,'MIS FINANZAS'!$H$7:$L$103,3,0)),"")</f>
        <v/>
      </c>
      <c r="G152" s="196" t="str">
        <f>IF(D152="No tan necesario",VLOOKUP(B152,'OPORTUNIDADES DE MEJORA'!$AL$7:$AQ$103,6,0),IF(D152="No necesario",VLOOKUP(B152,'OPORTUNIDADES DE MEJORA'!$AL$7:$AQ$103,6,0),IF(D152="Necesario",VLOOKUP(B152,'MIS FINANZAS'!$H$7:$L$103,5,0),IF(C152="Ingreso",VLOOKUP(B152,'MIS FINANZAS'!$B$7:$F$103,5,0),""))))</f>
        <v/>
      </c>
      <c r="H152" s="17" t="str">
        <f t="shared" si="2"/>
        <v/>
      </c>
      <c r="I152" s="196" t="str">
        <f t="shared" si="3"/>
        <v/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>
        <v>146.0</v>
      </c>
      <c r="AB152" s="1" t="str">
        <f>IFERROR(IFERROR(VLOOKUP(AA152,'MIS FINANZAS'!$AQ$7:$AR$103,2,0),VLOOKUP(AA152,'MIS FINANZAS'!$AS$7:$AT$103,2,0)),"")</f>
        <v/>
      </c>
    </row>
    <row r="153" ht="15.75" customHeight="1">
      <c r="A153" s="1"/>
      <c r="B153" s="14" t="str">
        <f t="shared" si="1"/>
        <v/>
      </c>
      <c r="C153" s="119" t="str">
        <f>IF(B153="","",IF((IFERROR(MATCH(B153,'MIS FINANZAS'!$B$7:$B$103,0),0))&gt;0,"Ingreso","Gasto"))</f>
        <v/>
      </c>
      <c r="D153" s="119" t="str">
        <f>IFERROR(IF(C153="Ingreso",VLOOKUP(B153,'MIS FINANZAS'!$B$7:$F$103,2,0),VLOOKUP(B153,'MIS FINANZAS'!$H$7:$L$103,2,0)),"")</f>
        <v/>
      </c>
      <c r="E153" s="119" t="str">
        <f>IFERROR(IFERROR(VLOOKUP(B153,'MIS FINANZAS'!$B$7:$F$103,4,0),VLOOKUP(B153,'MIS FINANZAS'!$H$7:$L$103,4,0)),"")</f>
        <v/>
      </c>
      <c r="F153" s="119" t="str">
        <f>IFERROR(IF(C153="Ingreso",VLOOKUP(B153,'MIS FINANZAS'!$B$7:$F$103,3,0),VLOOKUP(B153,'MIS FINANZAS'!$H$7:$L$103,3,0)),"")</f>
        <v/>
      </c>
      <c r="G153" s="196" t="str">
        <f>IF(D153="No tan necesario",VLOOKUP(B153,'OPORTUNIDADES DE MEJORA'!$AL$7:$AQ$103,6,0),IF(D153="No necesario",VLOOKUP(B153,'OPORTUNIDADES DE MEJORA'!$AL$7:$AQ$103,6,0),IF(D153="Necesario",VLOOKUP(B153,'MIS FINANZAS'!$H$7:$L$103,5,0),IF(C153="Ingreso",VLOOKUP(B153,'MIS FINANZAS'!$B$7:$F$103,5,0),""))))</f>
        <v/>
      </c>
      <c r="H153" s="17" t="str">
        <f t="shared" si="2"/>
        <v/>
      </c>
      <c r="I153" s="196" t="str">
        <f t="shared" si="3"/>
        <v/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>
        <v>147.0</v>
      </c>
      <c r="AB153" s="1" t="str">
        <f>IFERROR(IFERROR(VLOOKUP(AA153,'MIS FINANZAS'!$AQ$7:$AR$103,2,0),VLOOKUP(AA153,'MIS FINANZAS'!$AS$7:$AT$103,2,0)),"")</f>
        <v/>
      </c>
    </row>
    <row r="154" ht="15.75" customHeight="1">
      <c r="A154" s="1"/>
      <c r="B154" s="14" t="str">
        <f t="shared" si="1"/>
        <v/>
      </c>
      <c r="C154" s="119" t="str">
        <f>IF(B154="","",IF((IFERROR(MATCH(B154,'MIS FINANZAS'!$B$7:$B$103,0),0))&gt;0,"Ingreso","Gasto"))</f>
        <v/>
      </c>
      <c r="D154" s="119" t="str">
        <f>IFERROR(IF(C154="Ingreso",VLOOKUP(B154,'MIS FINANZAS'!$B$7:$F$103,2,0),VLOOKUP(B154,'MIS FINANZAS'!$H$7:$L$103,2,0)),"")</f>
        <v/>
      </c>
      <c r="E154" s="119" t="str">
        <f>IFERROR(IFERROR(VLOOKUP(B154,'MIS FINANZAS'!$B$7:$F$103,4,0),VLOOKUP(B154,'MIS FINANZAS'!$H$7:$L$103,4,0)),"")</f>
        <v/>
      </c>
      <c r="F154" s="119" t="str">
        <f>IFERROR(IF(C154="Ingreso",VLOOKUP(B154,'MIS FINANZAS'!$B$7:$F$103,3,0),VLOOKUP(B154,'MIS FINANZAS'!$H$7:$L$103,3,0)),"")</f>
        <v/>
      </c>
      <c r="G154" s="196" t="str">
        <f>IF(D154="No tan necesario",VLOOKUP(B154,'OPORTUNIDADES DE MEJORA'!$AL$7:$AQ$103,6,0),IF(D154="No necesario",VLOOKUP(B154,'OPORTUNIDADES DE MEJORA'!$AL$7:$AQ$103,6,0),IF(D154="Necesario",VLOOKUP(B154,'MIS FINANZAS'!$H$7:$L$103,5,0),IF(C154="Ingreso",VLOOKUP(B154,'MIS FINANZAS'!$B$7:$F$103,5,0),""))))</f>
        <v/>
      </c>
      <c r="H154" s="17" t="str">
        <f t="shared" si="2"/>
        <v/>
      </c>
      <c r="I154" s="196" t="str">
        <f t="shared" si="3"/>
        <v/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>
        <v>148.0</v>
      </c>
      <c r="AB154" s="1" t="str">
        <f>IFERROR(IFERROR(VLOOKUP(AA154,'MIS FINANZAS'!$AQ$7:$AR$103,2,0),VLOOKUP(AA154,'MIS FINANZAS'!$AS$7:$AT$103,2,0)),"")</f>
        <v/>
      </c>
    </row>
    <row r="155" ht="15.75" customHeight="1">
      <c r="A155" s="1"/>
      <c r="B155" s="14" t="str">
        <f t="shared" si="1"/>
        <v/>
      </c>
      <c r="C155" s="119" t="str">
        <f>IF(B155="","",IF((IFERROR(MATCH(B155,'MIS FINANZAS'!$B$7:$B$103,0),0))&gt;0,"Ingreso","Gasto"))</f>
        <v/>
      </c>
      <c r="D155" s="119" t="str">
        <f>IFERROR(IF(C155="Ingreso",VLOOKUP(B155,'MIS FINANZAS'!$B$7:$F$103,2,0),VLOOKUP(B155,'MIS FINANZAS'!$H$7:$L$103,2,0)),"")</f>
        <v/>
      </c>
      <c r="E155" s="119" t="str">
        <f>IFERROR(IFERROR(VLOOKUP(B155,'MIS FINANZAS'!$B$7:$F$103,4,0),VLOOKUP(B155,'MIS FINANZAS'!$H$7:$L$103,4,0)),"")</f>
        <v/>
      </c>
      <c r="F155" s="119" t="str">
        <f>IFERROR(IF(C155="Ingreso",VLOOKUP(B155,'MIS FINANZAS'!$B$7:$F$103,3,0),VLOOKUP(B155,'MIS FINANZAS'!$H$7:$L$103,3,0)),"")</f>
        <v/>
      </c>
      <c r="G155" s="196" t="str">
        <f>IF(D155="No tan necesario",VLOOKUP(B155,'OPORTUNIDADES DE MEJORA'!$AL$7:$AQ$103,6,0),IF(D155="No necesario",VLOOKUP(B155,'OPORTUNIDADES DE MEJORA'!$AL$7:$AQ$103,6,0),IF(D155="Necesario",VLOOKUP(B155,'MIS FINANZAS'!$H$7:$L$103,5,0),IF(C155="Ingreso",VLOOKUP(B155,'MIS FINANZAS'!$B$7:$F$103,5,0),""))))</f>
        <v/>
      </c>
      <c r="H155" s="17" t="str">
        <f t="shared" si="2"/>
        <v/>
      </c>
      <c r="I155" s="196" t="str">
        <f t="shared" si="3"/>
        <v/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>
        <v>149.0</v>
      </c>
      <c r="AB155" s="1" t="str">
        <f>IFERROR(IFERROR(VLOOKUP(AA155,'MIS FINANZAS'!$AQ$7:$AR$103,2,0),VLOOKUP(AA155,'MIS FINANZAS'!$AS$7:$AT$103,2,0)),"")</f>
        <v/>
      </c>
    </row>
    <row r="156" ht="15.75" customHeight="1">
      <c r="A156" s="1"/>
      <c r="B156" s="14" t="str">
        <f t="shared" si="1"/>
        <v/>
      </c>
      <c r="C156" s="119" t="str">
        <f>IF(B156="","",IF((IFERROR(MATCH(B156,'MIS FINANZAS'!$B$7:$B$103,0),0))&gt;0,"Ingreso","Gasto"))</f>
        <v/>
      </c>
      <c r="D156" s="119" t="str">
        <f>IFERROR(IF(C156="Ingreso",VLOOKUP(B156,'MIS FINANZAS'!$B$7:$F$103,2,0),VLOOKUP(B156,'MIS FINANZAS'!$H$7:$L$103,2,0)),"")</f>
        <v/>
      </c>
      <c r="E156" s="119" t="str">
        <f>IFERROR(IFERROR(VLOOKUP(B156,'MIS FINANZAS'!$B$7:$F$103,4,0),VLOOKUP(B156,'MIS FINANZAS'!$H$7:$L$103,4,0)),"")</f>
        <v/>
      </c>
      <c r="F156" s="119" t="str">
        <f>IFERROR(IF(C156="Ingreso",VLOOKUP(B156,'MIS FINANZAS'!$B$7:$F$103,3,0),VLOOKUP(B156,'MIS FINANZAS'!$H$7:$L$103,3,0)),"")</f>
        <v/>
      </c>
      <c r="G156" s="196" t="str">
        <f>IF(D156="No tan necesario",VLOOKUP(B156,'OPORTUNIDADES DE MEJORA'!$AL$7:$AQ$103,6,0),IF(D156="No necesario",VLOOKUP(B156,'OPORTUNIDADES DE MEJORA'!$AL$7:$AQ$103,6,0),IF(D156="Necesario",VLOOKUP(B156,'MIS FINANZAS'!$H$7:$L$103,5,0),IF(C156="Ingreso",VLOOKUP(B156,'MIS FINANZAS'!$B$7:$F$103,5,0),""))))</f>
        <v/>
      </c>
      <c r="H156" s="17" t="str">
        <f t="shared" si="2"/>
        <v/>
      </c>
      <c r="I156" s="196" t="str">
        <f t="shared" si="3"/>
        <v/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>
        <v>150.0</v>
      </c>
      <c r="AB156" s="1" t="str">
        <f>IFERROR(IFERROR(VLOOKUP(AA156,'MIS FINANZAS'!$AQ$7:$AR$103,2,0),VLOOKUP(AA156,'MIS FINANZAS'!$AS$7:$AT$103,2,0)),"")</f>
        <v/>
      </c>
    </row>
    <row r="157" ht="15.75" customHeight="1">
      <c r="A157" s="1"/>
      <c r="B157" s="14" t="str">
        <f t="shared" si="1"/>
        <v/>
      </c>
      <c r="C157" s="119" t="str">
        <f>IF(B157="","",IF((IFERROR(MATCH(B157,'MIS FINANZAS'!$B$7:$B$103,0),0))&gt;0,"Ingreso","Gasto"))</f>
        <v/>
      </c>
      <c r="D157" s="119" t="str">
        <f>IFERROR(IF(C157="Ingreso",VLOOKUP(B157,'MIS FINANZAS'!$B$7:$F$103,2,0),VLOOKUP(B157,'MIS FINANZAS'!$H$7:$L$103,2,0)),"")</f>
        <v/>
      </c>
      <c r="E157" s="119" t="str">
        <f>IFERROR(IFERROR(VLOOKUP(B157,'MIS FINANZAS'!$B$7:$F$103,4,0),VLOOKUP(B157,'MIS FINANZAS'!$H$7:$L$103,4,0)),"")</f>
        <v/>
      </c>
      <c r="F157" s="119" t="str">
        <f>IFERROR(IF(C157="Ingreso",VLOOKUP(B157,'MIS FINANZAS'!$B$7:$F$103,3,0),VLOOKUP(B157,'MIS FINANZAS'!$H$7:$L$103,3,0)),"")</f>
        <v/>
      </c>
      <c r="G157" s="196" t="str">
        <f>IF(D157="No tan necesario",VLOOKUP(B157,'OPORTUNIDADES DE MEJORA'!$AL$7:$AQ$103,6,0),IF(D157="No necesario",VLOOKUP(B157,'OPORTUNIDADES DE MEJORA'!$AL$7:$AQ$103,6,0),IF(D157="Necesario",VLOOKUP(B157,'MIS FINANZAS'!$H$7:$L$103,5,0),IF(C157="Ingreso",VLOOKUP(B157,'MIS FINANZAS'!$B$7:$F$103,5,0),""))))</f>
        <v/>
      </c>
      <c r="H157" s="17" t="str">
        <f t="shared" si="2"/>
        <v/>
      </c>
      <c r="I157" s="196" t="str">
        <f t="shared" si="3"/>
        <v/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>
        <v>151.0</v>
      </c>
      <c r="AB157" s="1" t="str">
        <f>IFERROR(IFERROR(VLOOKUP(AA157,'MIS FINANZAS'!$AQ$7:$AR$103,2,0),VLOOKUP(AA157,'MIS FINANZAS'!$AS$7:$AT$103,2,0)),"")</f>
        <v/>
      </c>
    </row>
    <row r="158" ht="15.75" customHeight="1">
      <c r="A158" s="1"/>
      <c r="B158" s="14" t="str">
        <f t="shared" si="1"/>
        <v/>
      </c>
      <c r="C158" s="119" t="str">
        <f>IF(B158="","",IF((IFERROR(MATCH(B158,'MIS FINANZAS'!$B$7:$B$103,0),0))&gt;0,"Ingreso","Gasto"))</f>
        <v/>
      </c>
      <c r="D158" s="119" t="str">
        <f>IFERROR(IF(C158="Ingreso",VLOOKUP(B158,'MIS FINANZAS'!$B$7:$F$103,2,0),VLOOKUP(B158,'MIS FINANZAS'!$H$7:$L$103,2,0)),"")</f>
        <v/>
      </c>
      <c r="E158" s="119" t="str">
        <f>IFERROR(IFERROR(VLOOKUP(B158,'MIS FINANZAS'!$B$7:$F$103,4,0),VLOOKUP(B158,'MIS FINANZAS'!$H$7:$L$103,4,0)),"")</f>
        <v/>
      </c>
      <c r="F158" s="119" t="str">
        <f>IFERROR(IF(C158="Ingreso",VLOOKUP(B158,'MIS FINANZAS'!$B$7:$F$103,3,0),VLOOKUP(B158,'MIS FINANZAS'!$H$7:$L$103,3,0)),"")</f>
        <v/>
      </c>
      <c r="G158" s="196" t="str">
        <f>IF(D158="No tan necesario",VLOOKUP(B158,'OPORTUNIDADES DE MEJORA'!$AL$7:$AQ$103,6,0),IF(D158="No necesario",VLOOKUP(B158,'OPORTUNIDADES DE MEJORA'!$AL$7:$AQ$103,6,0),IF(D158="Necesario",VLOOKUP(B158,'MIS FINANZAS'!$H$7:$L$103,5,0),IF(C158="Ingreso",VLOOKUP(B158,'MIS FINANZAS'!$B$7:$F$103,5,0),""))))</f>
        <v/>
      </c>
      <c r="H158" s="17" t="str">
        <f t="shared" si="2"/>
        <v/>
      </c>
      <c r="I158" s="196" t="str">
        <f t="shared" si="3"/>
        <v/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>
        <v>152.0</v>
      </c>
      <c r="AB158" s="1" t="str">
        <f>IFERROR(IFERROR(VLOOKUP(AA158,'MIS FINANZAS'!$AQ$7:$AR$103,2,0),VLOOKUP(AA158,'MIS FINANZAS'!$AS$7:$AT$103,2,0)),"")</f>
        <v/>
      </c>
    </row>
    <row r="159" ht="15.75" customHeight="1">
      <c r="A159" s="1"/>
      <c r="B159" s="14" t="str">
        <f t="shared" si="1"/>
        <v/>
      </c>
      <c r="C159" s="119" t="str">
        <f>IF(B159="","",IF((IFERROR(MATCH(B159,'MIS FINANZAS'!$B$7:$B$103,0),0))&gt;0,"Ingreso","Gasto"))</f>
        <v/>
      </c>
      <c r="D159" s="119" t="str">
        <f>IFERROR(IF(C159="Ingreso",VLOOKUP(B159,'MIS FINANZAS'!$B$7:$F$103,2,0),VLOOKUP(B159,'MIS FINANZAS'!$H$7:$L$103,2,0)),"")</f>
        <v/>
      </c>
      <c r="E159" s="119" t="str">
        <f>IFERROR(IFERROR(VLOOKUP(B159,'MIS FINANZAS'!$B$7:$F$103,4,0),VLOOKUP(B159,'MIS FINANZAS'!$H$7:$L$103,4,0)),"")</f>
        <v/>
      </c>
      <c r="F159" s="119" t="str">
        <f>IFERROR(IF(C159="Ingreso",VLOOKUP(B159,'MIS FINANZAS'!$B$7:$F$103,3,0),VLOOKUP(B159,'MIS FINANZAS'!$H$7:$L$103,3,0)),"")</f>
        <v/>
      </c>
      <c r="G159" s="196" t="str">
        <f>IF(D159="No tan necesario",VLOOKUP(B159,'OPORTUNIDADES DE MEJORA'!$AL$7:$AQ$103,6,0),IF(D159="No necesario",VLOOKUP(B159,'OPORTUNIDADES DE MEJORA'!$AL$7:$AQ$103,6,0),IF(D159="Necesario",VLOOKUP(B159,'MIS FINANZAS'!$H$7:$L$103,5,0),IF(C159="Ingreso",VLOOKUP(B159,'MIS FINANZAS'!$B$7:$F$103,5,0),""))))</f>
        <v/>
      </c>
      <c r="H159" s="17" t="str">
        <f t="shared" si="2"/>
        <v/>
      </c>
      <c r="I159" s="196" t="str">
        <f t="shared" si="3"/>
        <v/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>
        <v>153.0</v>
      </c>
      <c r="AB159" s="1" t="str">
        <f>IFERROR(IFERROR(VLOOKUP(AA159,'MIS FINANZAS'!$AQ$7:$AR$103,2,0),VLOOKUP(AA159,'MIS FINANZAS'!$AS$7:$AT$103,2,0)),"")</f>
        <v/>
      </c>
    </row>
    <row r="160" ht="15.75" customHeight="1">
      <c r="A160" s="1"/>
      <c r="B160" s="14" t="str">
        <f t="shared" si="1"/>
        <v/>
      </c>
      <c r="C160" s="119" t="str">
        <f>IF(B160="","",IF((IFERROR(MATCH(B160,'MIS FINANZAS'!$B$7:$B$103,0),0))&gt;0,"Ingreso","Gasto"))</f>
        <v/>
      </c>
      <c r="D160" s="119" t="str">
        <f>IFERROR(IF(C160="Ingreso",VLOOKUP(B160,'MIS FINANZAS'!$B$7:$F$103,2,0),VLOOKUP(B160,'MIS FINANZAS'!$H$7:$L$103,2,0)),"")</f>
        <v/>
      </c>
      <c r="E160" s="119" t="str">
        <f>IFERROR(IFERROR(VLOOKUP(B160,'MIS FINANZAS'!$B$7:$F$103,4,0),VLOOKUP(B160,'MIS FINANZAS'!$H$7:$L$103,4,0)),"")</f>
        <v/>
      </c>
      <c r="F160" s="119" t="str">
        <f>IFERROR(IF(C160="Ingreso",VLOOKUP(B160,'MIS FINANZAS'!$B$7:$F$103,3,0),VLOOKUP(B160,'MIS FINANZAS'!$H$7:$L$103,3,0)),"")</f>
        <v/>
      </c>
      <c r="G160" s="196" t="str">
        <f>IF(D160="No tan necesario",VLOOKUP(B160,'OPORTUNIDADES DE MEJORA'!$AL$7:$AQ$103,6,0),IF(D160="No necesario",VLOOKUP(B160,'OPORTUNIDADES DE MEJORA'!$AL$7:$AQ$103,6,0),IF(D160="Necesario",VLOOKUP(B160,'MIS FINANZAS'!$H$7:$L$103,5,0),IF(C160="Ingreso",VLOOKUP(B160,'MIS FINANZAS'!$B$7:$F$103,5,0),""))))</f>
        <v/>
      </c>
      <c r="H160" s="17" t="str">
        <f t="shared" si="2"/>
        <v/>
      </c>
      <c r="I160" s="196" t="str">
        <f t="shared" si="3"/>
        <v/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>
        <v>154.0</v>
      </c>
      <c r="AB160" s="1" t="str">
        <f>IFERROR(IFERROR(VLOOKUP(AA160,'MIS FINANZAS'!$AQ$7:$AR$103,2,0),VLOOKUP(AA160,'MIS FINANZAS'!$AS$7:$AT$103,2,0)),"")</f>
        <v/>
      </c>
    </row>
    <row r="161" ht="15.75" customHeight="1">
      <c r="A161" s="1"/>
      <c r="B161" s="14" t="str">
        <f t="shared" si="1"/>
        <v/>
      </c>
      <c r="C161" s="119" t="str">
        <f>IF(B161="","",IF((IFERROR(MATCH(B161,'MIS FINANZAS'!$B$7:$B$103,0),0))&gt;0,"Ingreso","Gasto"))</f>
        <v/>
      </c>
      <c r="D161" s="119" t="str">
        <f>IFERROR(IF(C161="Ingreso",VLOOKUP(B161,'MIS FINANZAS'!$B$7:$F$103,2,0),VLOOKUP(B161,'MIS FINANZAS'!$H$7:$L$103,2,0)),"")</f>
        <v/>
      </c>
      <c r="E161" s="119" t="str">
        <f>IFERROR(IFERROR(VLOOKUP(B161,'MIS FINANZAS'!$B$7:$F$103,4,0),VLOOKUP(B161,'MIS FINANZAS'!$H$7:$L$103,4,0)),"")</f>
        <v/>
      </c>
      <c r="F161" s="119" t="str">
        <f>IFERROR(IF(C161="Ingreso",VLOOKUP(B161,'MIS FINANZAS'!$B$7:$F$103,3,0),VLOOKUP(B161,'MIS FINANZAS'!$H$7:$L$103,3,0)),"")</f>
        <v/>
      </c>
      <c r="G161" s="196" t="str">
        <f>IF(D161="No tan necesario",VLOOKUP(B161,'OPORTUNIDADES DE MEJORA'!$AL$7:$AQ$103,6,0),IF(D161="No necesario",VLOOKUP(B161,'OPORTUNIDADES DE MEJORA'!$AL$7:$AQ$103,6,0),IF(D161="Necesario",VLOOKUP(B161,'MIS FINANZAS'!$H$7:$L$103,5,0),IF(C161="Ingreso",VLOOKUP(B161,'MIS FINANZAS'!$B$7:$F$103,5,0),""))))</f>
        <v/>
      </c>
      <c r="H161" s="17" t="str">
        <f t="shared" si="2"/>
        <v/>
      </c>
      <c r="I161" s="196" t="str">
        <f t="shared" si="3"/>
        <v/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>
        <v>155.0</v>
      </c>
      <c r="AB161" s="1" t="str">
        <f>IFERROR(IFERROR(VLOOKUP(AA161,'MIS FINANZAS'!$AQ$7:$AR$103,2,0),VLOOKUP(AA161,'MIS FINANZAS'!$AS$7:$AT$103,2,0)),"")</f>
        <v/>
      </c>
    </row>
    <row r="162" ht="15.75" customHeight="1">
      <c r="A162" s="1"/>
      <c r="B162" s="14" t="str">
        <f t="shared" si="1"/>
        <v/>
      </c>
      <c r="C162" s="119" t="str">
        <f>IF(B162="","",IF((IFERROR(MATCH(B162,'MIS FINANZAS'!$B$7:$B$103,0),0))&gt;0,"Ingreso","Gasto"))</f>
        <v/>
      </c>
      <c r="D162" s="119" t="str">
        <f>IFERROR(IF(C162="Ingreso",VLOOKUP(B162,'MIS FINANZAS'!$B$7:$F$103,2,0),VLOOKUP(B162,'MIS FINANZAS'!$H$7:$L$103,2,0)),"")</f>
        <v/>
      </c>
      <c r="E162" s="119" t="str">
        <f>IFERROR(IFERROR(VLOOKUP(B162,'MIS FINANZAS'!$B$7:$F$103,4,0),VLOOKUP(B162,'MIS FINANZAS'!$H$7:$L$103,4,0)),"")</f>
        <v/>
      </c>
      <c r="F162" s="119" t="str">
        <f>IFERROR(IF(C162="Ingreso",VLOOKUP(B162,'MIS FINANZAS'!$B$7:$F$103,3,0),VLOOKUP(B162,'MIS FINANZAS'!$H$7:$L$103,3,0)),"")</f>
        <v/>
      </c>
      <c r="G162" s="196" t="str">
        <f>IF(D162="No tan necesario",VLOOKUP(B162,'OPORTUNIDADES DE MEJORA'!$AL$7:$AQ$103,6,0),IF(D162="No necesario",VLOOKUP(B162,'OPORTUNIDADES DE MEJORA'!$AL$7:$AQ$103,6,0),IF(D162="Necesario",VLOOKUP(B162,'MIS FINANZAS'!$H$7:$L$103,5,0),IF(C162="Ingreso",VLOOKUP(B162,'MIS FINANZAS'!$B$7:$F$103,5,0),""))))</f>
        <v/>
      </c>
      <c r="H162" s="17" t="str">
        <f t="shared" si="2"/>
        <v/>
      </c>
      <c r="I162" s="196" t="str">
        <f t="shared" si="3"/>
        <v/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>
        <v>156.0</v>
      </c>
      <c r="AB162" s="1" t="str">
        <f>IFERROR(IFERROR(VLOOKUP(AA162,'MIS FINANZAS'!$AQ$7:$AR$103,2,0),VLOOKUP(AA162,'MIS FINANZAS'!$AS$7:$AT$103,2,0)),"")</f>
        <v/>
      </c>
    </row>
    <row r="163" ht="15.75" customHeight="1">
      <c r="A163" s="1"/>
      <c r="B163" s="14" t="str">
        <f t="shared" si="1"/>
        <v/>
      </c>
      <c r="C163" s="119" t="str">
        <f>IF(B163="","",IF((IFERROR(MATCH(B163,'MIS FINANZAS'!$B$7:$B$103,0),0))&gt;0,"Ingreso","Gasto"))</f>
        <v/>
      </c>
      <c r="D163" s="119" t="str">
        <f>IFERROR(IF(C163="Ingreso",VLOOKUP(B163,'MIS FINANZAS'!$B$7:$F$103,2,0),VLOOKUP(B163,'MIS FINANZAS'!$H$7:$L$103,2,0)),"")</f>
        <v/>
      </c>
      <c r="E163" s="119" t="str">
        <f>IFERROR(IFERROR(VLOOKUP(B163,'MIS FINANZAS'!$B$7:$F$103,4,0),VLOOKUP(B163,'MIS FINANZAS'!$H$7:$L$103,4,0)),"")</f>
        <v/>
      </c>
      <c r="F163" s="119" t="str">
        <f>IFERROR(IF(C163="Ingreso",VLOOKUP(B163,'MIS FINANZAS'!$B$7:$F$103,3,0),VLOOKUP(B163,'MIS FINANZAS'!$H$7:$L$103,3,0)),"")</f>
        <v/>
      </c>
      <c r="G163" s="196" t="str">
        <f>IF(D163="No tan necesario",VLOOKUP(B163,'OPORTUNIDADES DE MEJORA'!$AL$7:$AQ$103,6,0),IF(D163="No necesario",VLOOKUP(B163,'OPORTUNIDADES DE MEJORA'!$AL$7:$AQ$103,6,0),IF(D163="Necesario",VLOOKUP(B163,'MIS FINANZAS'!$H$7:$L$103,5,0),IF(C163="Ingreso",VLOOKUP(B163,'MIS FINANZAS'!$B$7:$F$103,5,0),""))))</f>
        <v/>
      </c>
      <c r="H163" s="17" t="str">
        <f t="shared" si="2"/>
        <v/>
      </c>
      <c r="I163" s="196" t="str">
        <f t="shared" si="3"/>
        <v/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>
        <v>157.0</v>
      </c>
      <c r="AB163" s="1" t="str">
        <f>IFERROR(IFERROR(VLOOKUP(AA163,'MIS FINANZAS'!$AQ$7:$AR$103,2,0),VLOOKUP(AA163,'MIS FINANZAS'!$AS$7:$AT$103,2,0)),"")</f>
        <v/>
      </c>
    </row>
    <row r="164" ht="15.75" customHeight="1">
      <c r="A164" s="1"/>
      <c r="B164" s="14" t="str">
        <f t="shared" si="1"/>
        <v/>
      </c>
      <c r="C164" s="119" t="str">
        <f>IF(B164="","",IF((IFERROR(MATCH(B164,'MIS FINANZAS'!$B$7:$B$103,0),0))&gt;0,"Ingreso","Gasto"))</f>
        <v/>
      </c>
      <c r="D164" s="119" t="str">
        <f>IFERROR(IF(C164="Ingreso",VLOOKUP(B164,'MIS FINANZAS'!$B$7:$F$103,2,0),VLOOKUP(B164,'MIS FINANZAS'!$H$7:$L$103,2,0)),"")</f>
        <v/>
      </c>
      <c r="E164" s="119" t="str">
        <f>IFERROR(IFERROR(VLOOKUP(B164,'MIS FINANZAS'!$B$7:$F$103,4,0),VLOOKUP(B164,'MIS FINANZAS'!$H$7:$L$103,4,0)),"")</f>
        <v/>
      </c>
      <c r="F164" s="119" t="str">
        <f>IFERROR(IF(C164="Ingreso",VLOOKUP(B164,'MIS FINANZAS'!$B$7:$F$103,3,0),VLOOKUP(B164,'MIS FINANZAS'!$H$7:$L$103,3,0)),"")</f>
        <v/>
      </c>
      <c r="G164" s="196" t="str">
        <f>IF(D164="No tan necesario",VLOOKUP(B164,'OPORTUNIDADES DE MEJORA'!$AL$7:$AQ$103,6,0),IF(D164="No necesario",VLOOKUP(B164,'OPORTUNIDADES DE MEJORA'!$AL$7:$AQ$103,6,0),IF(D164="Necesario",VLOOKUP(B164,'MIS FINANZAS'!$H$7:$L$103,5,0),IF(C164="Ingreso",VLOOKUP(B164,'MIS FINANZAS'!$B$7:$F$103,5,0),""))))</f>
        <v/>
      </c>
      <c r="H164" s="17" t="str">
        <f t="shared" si="2"/>
        <v/>
      </c>
      <c r="I164" s="196" t="str">
        <f t="shared" si="3"/>
        <v/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>
        <v>158.0</v>
      </c>
      <c r="AB164" s="1" t="str">
        <f>IFERROR(IFERROR(VLOOKUP(AA164,'MIS FINANZAS'!$AQ$7:$AR$103,2,0),VLOOKUP(AA164,'MIS FINANZAS'!$AS$7:$AT$103,2,0)),"")</f>
        <v/>
      </c>
    </row>
    <row r="165" ht="15.75" customHeight="1">
      <c r="A165" s="1"/>
      <c r="B165" s="14" t="str">
        <f t="shared" si="1"/>
        <v/>
      </c>
      <c r="C165" s="119" t="str">
        <f>IF(B165="","",IF((IFERROR(MATCH(B165,'MIS FINANZAS'!$B$7:$B$103,0),0))&gt;0,"Ingreso","Gasto"))</f>
        <v/>
      </c>
      <c r="D165" s="119" t="str">
        <f>IFERROR(IF(C165="Ingreso",VLOOKUP(B165,'MIS FINANZAS'!$B$7:$F$103,2,0),VLOOKUP(B165,'MIS FINANZAS'!$H$7:$L$103,2,0)),"")</f>
        <v/>
      </c>
      <c r="E165" s="119" t="str">
        <f>IFERROR(IFERROR(VLOOKUP(B165,'MIS FINANZAS'!$B$7:$F$103,4,0),VLOOKUP(B165,'MIS FINANZAS'!$H$7:$L$103,4,0)),"")</f>
        <v/>
      </c>
      <c r="F165" s="119" t="str">
        <f>IFERROR(IF(C165="Ingreso",VLOOKUP(B165,'MIS FINANZAS'!$B$7:$F$103,3,0),VLOOKUP(B165,'MIS FINANZAS'!$H$7:$L$103,3,0)),"")</f>
        <v/>
      </c>
      <c r="G165" s="196" t="str">
        <f>IF(D165="No tan necesario",VLOOKUP(B165,'OPORTUNIDADES DE MEJORA'!$AL$7:$AQ$103,6,0),IF(D165="No necesario",VLOOKUP(B165,'OPORTUNIDADES DE MEJORA'!$AL$7:$AQ$103,6,0),IF(D165="Necesario",VLOOKUP(B165,'MIS FINANZAS'!$H$7:$L$103,5,0),IF(C165="Ingreso",VLOOKUP(B165,'MIS FINANZAS'!$B$7:$F$103,5,0),""))))</f>
        <v/>
      </c>
      <c r="H165" s="17" t="str">
        <f t="shared" si="2"/>
        <v/>
      </c>
      <c r="I165" s="196" t="str">
        <f t="shared" si="3"/>
        <v/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>
        <v>159.0</v>
      </c>
      <c r="AB165" s="1" t="str">
        <f>IFERROR(IFERROR(VLOOKUP(AA165,'MIS FINANZAS'!$AQ$7:$AR$103,2,0),VLOOKUP(AA165,'MIS FINANZAS'!$AS$7:$AT$103,2,0)),"")</f>
        <v/>
      </c>
    </row>
    <row r="166" ht="15.75" customHeight="1">
      <c r="A166" s="1"/>
      <c r="B166" s="14" t="str">
        <f t="shared" si="1"/>
        <v/>
      </c>
      <c r="C166" s="119" t="str">
        <f>IF(B166="","",IF((IFERROR(MATCH(B166,'MIS FINANZAS'!$B$7:$B$103,0),0))&gt;0,"Ingreso","Gasto"))</f>
        <v/>
      </c>
      <c r="D166" s="119" t="str">
        <f>IFERROR(IF(C166="Ingreso",VLOOKUP(B166,'MIS FINANZAS'!$B$7:$F$103,2,0),VLOOKUP(B166,'MIS FINANZAS'!$H$7:$L$103,2,0)),"")</f>
        <v/>
      </c>
      <c r="E166" s="119" t="str">
        <f>IFERROR(IFERROR(VLOOKUP(B166,'MIS FINANZAS'!$B$7:$F$103,4,0),VLOOKUP(B166,'MIS FINANZAS'!$H$7:$L$103,4,0)),"")</f>
        <v/>
      </c>
      <c r="F166" s="119" t="str">
        <f>IFERROR(IF(C166="Ingreso",VLOOKUP(B166,'MIS FINANZAS'!$B$7:$F$103,3,0),VLOOKUP(B166,'MIS FINANZAS'!$H$7:$L$103,3,0)),"")</f>
        <v/>
      </c>
      <c r="G166" s="196" t="str">
        <f>IF(D166="No tan necesario",VLOOKUP(B166,'OPORTUNIDADES DE MEJORA'!$AL$7:$AQ$103,6,0),IF(D166="No necesario",VLOOKUP(B166,'OPORTUNIDADES DE MEJORA'!$AL$7:$AQ$103,6,0),IF(D166="Necesario",VLOOKUP(B166,'MIS FINANZAS'!$H$7:$L$103,5,0),IF(C166="Ingreso",VLOOKUP(B166,'MIS FINANZAS'!$B$7:$F$103,5,0),""))))</f>
        <v/>
      </c>
      <c r="H166" s="17" t="str">
        <f t="shared" si="2"/>
        <v/>
      </c>
      <c r="I166" s="196" t="str">
        <f t="shared" si="3"/>
        <v/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>
        <v>160.0</v>
      </c>
      <c r="AB166" s="1" t="str">
        <f>IFERROR(IFERROR(VLOOKUP(AA166,'MIS FINANZAS'!$AQ$7:$AR$103,2,0),VLOOKUP(AA166,'MIS FINANZAS'!$AS$7:$AT$103,2,0)),"")</f>
        <v/>
      </c>
    </row>
    <row r="167" ht="15.75" customHeight="1">
      <c r="A167" s="1"/>
      <c r="B167" s="14" t="str">
        <f t="shared" si="1"/>
        <v/>
      </c>
      <c r="C167" s="119" t="str">
        <f>IF(B167="","",IF((IFERROR(MATCH(B167,'MIS FINANZAS'!$B$7:$B$103,0),0))&gt;0,"Ingreso","Gasto"))</f>
        <v/>
      </c>
      <c r="D167" s="119" t="str">
        <f>IFERROR(IF(C167="Ingreso",VLOOKUP(B167,'MIS FINANZAS'!$B$7:$F$103,2,0),VLOOKUP(B167,'MIS FINANZAS'!$H$7:$L$103,2,0)),"")</f>
        <v/>
      </c>
      <c r="E167" s="119" t="str">
        <f>IFERROR(IFERROR(VLOOKUP(B167,'MIS FINANZAS'!$B$7:$F$103,4,0),VLOOKUP(B167,'MIS FINANZAS'!$H$7:$L$103,4,0)),"")</f>
        <v/>
      </c>
      <c r="F167" s="119" t="str">
        <f>IFERROR(IF(C167="Ingreso",VLOOKUP(B167,'MIS FINANZAS'!$B$7:$F$103,3,0),VLOOKUP(B167,'MIS FINANZAS'!$H$7:$L$103,3,0)),"")</f>
        <v/>
      </c>
      <c r="G167" s="196" t="str">
        <f>IF(D167="No tan necesario",VLOOKUP(B167,'OPORTUNIDADES DE MEJORA'!$AL$7:$AQ$103,6,0),IF(D167="No necesario",VLOOKUP(B167,'OPORTUNIDADES DE MEJORA'!$AL$7:$AQ$103,6,0),IF(D167="Necesario",VLOOKUP(B167,'MIS FINANZAS'!$H$7:$L$103,5,0),IF(C167="Ingreso",VLOOKUP(B167,'MIS FINANZAS'!$B$7:$F$103,5,0),""))))</f>
        <v/>
      </c>
      <c r="H167" s="17" t="str">
        <f t="shared" si="2"/>
        <v/>
      </c>
      <c r="I167" s="196" t="str">
        <f t="shared" si="3"/>
        <v/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>
        <v>161.0</v>
      </c>
      <c r="AB167" s="1" t="str">
        <f>IFERROR(IFERROR(VLOOKUP(AA167,'MIS FINANZAS'!$AQ$7:$AR$103,2,0),VLOOKUP(AA167,'MIS FINANZAS'!$AS$7:$AT$103,2,0)),"")</f>
        <v/>
      </c>
    </row>
    <row r="168" ht="15.75" customHeight="1">
      <c r="A168" s="1"/>
      <c r="B168" s="14" t="str">
        <f t="shared" si="1"/>
        <v/>
      </c>
      <c r="C168" s="119" t="str">
        <f>IF(B168="","",IF((IFERROR(MATCH(B168,'MIS FINANZAS'!$B$7:$B$103,0),0))&gt;0,"Ingreso","Gasto"))</f>
        <v/>
      </c>
      <c r="D168" s="119" t="str">
        <f>IFERROR(IF(C168="Ingreso",VLOOKUP(B168,'MIS FINANZAS'!$B$7:$F$103,2,0),VLOOKUP(B168,'MIS FINANZAS'!$H$7:$L$103,2,0)),"")</f>
        <v/>
      </c>
      <c r="E168" s="119" t="str">
        <f>IFERROR(IFERROR(VLOOKUP(B168,'MIS FINANZAS'!$B$7:$F$103,4,0),VLOOKUP(B168,'MIS FINANZAS'!$H$7:$L$103,4,0)),"")</f>
        <v/>
      </c>
      <c r="F168" s="119" t="str">
        <f>IFERROR(IF(C168="Ingreso",VLOOKUP(B168,'MIS FINANZAS'!$B$7:$F$103,3,0),VLOOKUP(B168,'MIS FINANZAS'!$H$7:$L$103,3,0)),"")</f>
        <v/>
      </c>
      <c r="G168" s="196" t="str">
        <f>IF(D168="No tan necesario",VLOOKUP(B168,'OPORTUNIDADES DE MEJORA'!$AL$7:$AQ$103,6,0),IF(D168="No necesario",VLOOKUP(B168,'OPORTUNIDADES DE MEJORA'!$AL$7:$AQ$103,6,0),IF(D168="Necesario",VLOOKUP(B168,'MIS FINANZAS'!$H$7:$L$103,5,0),IF(C168="Ingreso",VLOOKUP(B168,'MIS FINANZAS'!$B$7:$F$103,5,0),""))))</f>
        <v/>
      </c>
      <c r="H168" s="17" t="str">
        <f t="shared" si="2"/>
        <v/>
      </c>
      <c r="I168" s="196" t="str">
        <f t="shared" si="3"/>
        <v/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>
        <v>162.0</v>
      </c>
      <c r="AB168" s="1" t="str">
        <f>IFERROR(IFERROR(VLOOKUP(AA168,'MIS FINANZAS'!$AQ$7:$AR$103,2,0),VLOOKUP(AA168,'MIS FINANZAS'!$AS$7:$AT$103,2,0)),"")</f>
        <v/>
      </c>
    </row>
    <row r="169" ht="15.75" customHeight="1">
      <c r="A169" s="1"/>
      <c r="B169" s="14" t="str">
        <f t="shared" si="1"/>
        <v/>
      </c>
      <c r="C169" s="119" t="str">
        <f>IF(B169="","",IF((IFERROR(MATCH(B169,'MIS FINANZAS'!$B$7:$B$103,0),0))&gt;0,"Ingreso","Gasto"))</f>
        <v/>
      </c>
      <c r="D169" s="119" t="str">
        <f>IFERROR(IF(C169="Ingreso",VLOOKUP(B169,'MIS FINANZAS'!$B$7:$F$103,2,0),VLOOKUP(B169,'MIS FINANZAS'!$H$7:$L$103,2,0)),"")</f>
        <v/>
      </c>
      <c r="E169" s="119" t="str">
        <f>IFERROR(IFERROR(VLOOKUP(B169,'MIS FINANZAS'!$B$7:$F$103,4,0),VLOOKUP(B169,'MIS FINANZAS'!$H$7:$L$103,4,0)),"")</f>
        <v/>
      </c>
      <c r="F169" s="119" t="str">
        <f>IFERROR(IF(C169="Ingreso",VLOOKUP(B169,'MIS FINANZAS'!$B$7:$F$103,3,0),VLOOKUP(B169,'MIS FINANZAS'!$H$7:$L$103,3,0)),"")</f>
        <v/>
      </c>
      <c r="G169" s="196" t="str">
        <f>IF(D169="No tan necesario",VLOOKUP(B169,'OPORTUNIDADES DE MEJORA'!$AL$7:$AQ$103,6,0),IF(D169="No necesario",VLOOKUP(B169,'OPORTUNIDADES DE MEJORA'!$AL$7:$AQ$103,6,0),IF(D169="Necesario",VLOOKUP(B169,'MIS FINANZAS'!$H$7:$L$103,5,0),IF(C169="Ingreso",VLOOKUP(B169,'MIS FINANZAS'!$B$7:$F$103,5,0),""))))</f>
        <v/>
      </c>
      <c r="H169" s="17" t="str">
        <f t="shared" si="2"/>
        <v/>
      </c>
      <c r="I169" s="196" t="str">
        <f t="shared" si="3"/>
        <v/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>
        <v>163.0</v>
      </c>
      <c r="AB169" s="1" t="str">
        <f>IFERROR(IFERROR(VLOOKUP(AA169,'MIS FINANZAS'!$AQ$7:$AR$103,2,0),VLOOKUP(AA169,'MIS FINANZAS'!$AS$7:$AT$103,2,0)),"")</f>
        <v/>
      </c>
    </row>
    <row r="170" ht="15.75" customHeight="1">
      <c r="A170" s="1"/>
      <c r="B170" s="14" t="str">
        <f t="shared" si="1"/>
        <v/>
      </c>
      <c r="C170" s="119" t="str">
        <f>IF(B170="","",IF((IFERROR(MATCH(B170,'MIS FINANZAS'!$B$7:$B$103,0),0))&gt;0,"Ingreso","Gasto"))</f>
        <v/>
      </c>
      <c r="D170" s="119" t="str">
        <f>IFERROR(IF(C170="Ingreso",VLOOKUP(B170,'MIS FINANZAS'!$B$7:$F$103,2,0),VLOOKUP(B170,'MIS FINANZAS'!$H$7:$L$103,2,0)),"")</f>
        <v/>
      </c>
      <c r="E170" s="119" t="str">
        <f>IFERROR(IFERROR(VLOOKUP(B170,'MIS FINANZAS'!$B$7:$F$103,4,0),VLOOKUP(B170,'MIS FINANZAS'!$H$7:$L$103,4,0)),"")</f>
        <v/>
      </c>
      <c r="F170" s="119" t="str">
        <f>IFERROR(IF(C170="Ingreso",VLOOKUP(B170,'MIS FINANZAS'!$B$7:$F$103,3,0),VLOOKUP(B170,'MIS FINANZAS'!$H$7:$L$103,3,0)),"")</f>
        <v/>
      </c>
      <c r="G170" s="196" t="str">
        <f>IF(D170="No tan necesario",VLOOKUP(B170,'OPORTUNIDADES DE MEJORA'!$AL$7:$AQ$103,6,0),IF(D170="No necesario",VLOOKUP(B170,'OPORTUNIDADES DE MEJORA'!$AL$7:$AQ$103,6,0),IF(D170="Necesario",VLOOKUP(B170,'MIS FINANZAS'!$H$7:$L$103,5,0),IF(C170="Ingreso",VLOOKUP(B170,'MIS FINANZAS'!$B$7:$F$103,5,0),""))))</f>
        <v/>
      </c>
      <c r="H170" s="17" t="str">
        <f t="shared" si="2"/>
        <v/>
      </c>
      <c r="I170" s="196" t="str">
        <f t="shared" si="3"/>
        <v/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>
        <v>164.0</v>
      </c>
      <c r="AB170" s="1" t="str">
        <f>IFERROR(IFERROR(VLOOKUP(AA170,'MIS FINANZAS'!$AQ$7:$AR$103,2,0),VLOOKUP(AA170,'MIS FINANZAS'!$AS$7:$AT$103,2,0)),"")</f>
        <v/>
      </c>
    </row>
    <row r="171" ht="15.75" customHeight="1">
      <c r="A171" s="1"/>
      <c r="B171" s="14" t="str">
        <f t="shared" si="1"/>
        <v/>
      </c>
      <c r="C171" s="119" t="str">
        <f>IF(B171="","",IF((IFERROR(MATCH(B171,'MIS FINANZAS'!$B$7:$B$103,0),0))&gt;0,"Ingreso","Gasto"))</f>
        <v/>
      </c>
      <c r="D171" s="119" t="str">
        <f>IFERROR(IF(C171="Ingreso",VLOOKUP(B171,'MIS FINANZAS'!$B$7:$F$103,2,0),VLOOKUP(B171,'MIS FINANZAS'!$H$7:$L$103,2,0)),"")</f>
        <v/>
      </c>
      <c r="E171" s="119" t="str">
        <f>IFERROR(IFERROR(VLOOKUP(B171,'MIS FINANZAS'!$B$7:$F$103,4,0),VLOOKUP(B171,'MIS FINANZAS'!$H$7:$L$103,4,0)),"")</f>
        <v/>
      </c>
      <c r="F171" s="119" t="str">
        <f>IFERROR(IF(C171="Ingreso",VLOOKUP(B171,'MIS FINANZAS'!$B$7:$F$103,3,0),VLOOKUP(B171,'MIS FINANZAS'!$H$7:$L$103,3,0)),"")</f>
        <v/>
      </c>
      <c r="G171" s="196" t="str">
        <f>IF(D171="No tan necesario",VLOOKUP(B171,'OPORTUNIDADES DE MEJORA'!$AL$7:$AQ$103,6,0),IF(D171="No necesario",VLOOKUP(B171,'OPORTUNIDADES DE MEJORA'!$AL$7:$AQ$103,6,0),IF(D171="Necesario",VLOOKUP(B171,'MIS FINANZAS'!$H$7:$L$103,5,0),IF(C171="Ingreso",VLOOKUP(B171,'MIS FINANZAS'!$B$7:$F$103,5,0),""))))</f>
        <v/>
      </c>
      <c r="H171" s="17" t="str">
        <f t="shared" si="2"/>
        <v/>
      </c>
      <c r="I171" s="196" t="str">
        <f t="shared" si="3"/>
        <v/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>
        <v>165.0</v>
      </c>
      <c r="AB171" s="1" t="str">
        <f>IFERROR(IFERROR(VLOOKUP(AA171,'MIS FINANZAS'!$AQ$7:$AR$103,2,0),VLOOKUP(AA171,'MIS FINANZAS'!$AS$7:$AT$103,2,0)),"")</f>
        <v/>
      </c>
    </row>
    <row r="172" ht="15.75" customHeight="1">
      <c r="A172" s="1"/>
      <c r="B172" s="14" t="str">
        <f t="shared" si="1"/>
        <v/>
      </c>
      <c r="C172" s="119" t="str">
        <f>IF(B172="","",IF((IFERROR(MATCH(B172,'MIS FINANZAS'!$B$7:$B$103,0),0))&gt;0,"Ingreso","Gasto"))</f>
        <v/>
      </c>
      <c r="D172" s="119" t="str">
        <f>IFERROR(IF(C172="Ingreso",VLOOKUP(B172,'MIS FINANZAS'!$B$7:$F$103,2,0),VLOOKUP(B172,'MIS FINANZAS'!$H$7:$L$103,2,0)),"")</f>
        <v/>
      </c>
      <c r="E172" s="119" t="str">
        <f>IFERROR(IFERROR(VLOOKUP(B172,'MIS FINANZAS'!$B$7:$F$103,4,0),VLOOKUP(B172,'MIS FINANZAS'!$H$7:$L$103,4,0)),"")</f>
        <v/>
      </c>
      <c r="F172" s="119" t="str">
        <f>IFERROR(IF(C172="Ingreso",VLOOKUP(B172,'MIS FINANZAS'!$B$7:$F$103,3,0),VLOOKUP(B172,'MIS FINANZAS'!$H$7:$L$103,3,0)),"")</f>
        <v/>
      </c>
      <c r="G172" s="196" t="str">
        <f>IF(D172="No tan necesario",VLOOKUP(B172,'OPORTUNIDADES DE MEJORA'!$AL$7:$AQ$103,6,0),IF(D172="No necesario",VLOOKUP(B172,'OPORTUNIDADES DE MEJORA'!$AL$7:$AQ$103,6,0),IF(D172="Necesario",VLOOKUP(B172,'MIS FINANZAS'!$H$7:$L$103,5,0),IF(C172="Ingreso",VLOOKUP(B172,'MIS FINANZAS'!$B$7:$F$103,5,0),""))))</f>
        <v/>
      </c>
      <c r="H172" s="17" t="str">
        <f t="shared" si="2"/>
        <v/>
      </c>
      <c r="I172" s="196" t="str">
        <f t="shared" si="3"/>
        <v/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>
        <v>166.0</v>
      </c>
      <c r="AB172" s="1" t="str">
        <f>IFERROR(IFERROR(VLOOKUP(AA172,'MIS FINANZAS'!$AQ$7:$AR$103,2,0),VLOOKUP(AA172,'MIS FINANZAS'!$AS$7:$AT$103,2,0)),"")</f>
        <v/>
      </c>
    </row>
    <row r="173" ht="15.75" customHeight="1">
      <c r="A173" s="1"/>
      <c r="B173" s="14" t="str">
        <f t="shared" si="1"/>
        <v/>
      </c>
      <c r="C173" s="119" t="str">
        <f>IF(B173="","",IF((IFERROR(MATCH(B173,'MIS FINANZAS'!$B$7:$B$103,0),0))&gt;0,"Ingreso","Gasto"))</f>
        <v/>
      </c>
      <c r="D173" s="119" t="str">
        <f>IFERROR(IF(C173="Ingreso",VLOOKUP(B173,'MIS FINANZAS'!$B$7:$F$103,2,0),VLOOKUP(B173,'MIS FINANZAS'!$H$7:$L$103,2,0)),"")</f>
        <v/>
      </c>
      <c r="E173" s="119" t="str">
        <f>IFERROR(IFERROR(VLOOKUP(B173,'MIS FINANZAS'!$B$7:$F$103,4,0),VLOOKUP(B173,'MIS FINANZAS'!$H$7:$L$103,4,0)),"")</f>
        <v/>
      </c>
      <c r="F173" s="119" t="str">
        <f>IFERROR(IF(C173="Ingreso",VLOOKUP(B173,'MIS FINANZAS'!$B$7:$F$103,3,0),VLOOKUP(B173,'MIS FINANZAS'!$H$7:$L$103,3,0)),"")</f>
        <v/>
      </c>
      <c r="G173" s="196" t="str">
        <f>IF(D173="No tan necesario",VLOOKUP(B173,'OPORTUNIDADES DE MEJORA'!$AL$7:$AQ$103,6,0),IF(D173="No necesario",VLOOKUP(B173,'OPORTUNIDADES DE MEJORA'!$AL$7:$AQ$103,6,0),IF(D173="Necesario",VLOOKUP(B173,'MIS FINANZAS'!$H$7:$L$103,5,0),IF(C173="Ingreso",VLOOKUP(B173,'MIS FINANZAS'!$B$7:$F$103,5,0),""))))</f>
        <v/>
      </c>
      <c r="H173" s="17" t="str">
        <f t="shared" si="2"/>
        <v/>
      </c>
      <c r="I173" s="196" t="str">
        <f t="shared" si="3"/>
        <v/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>
        <v>167.0</v>
      </c>
      <c r="AB173" s="1" t="str">
        <f>IFERROR(IFERROR(VLOOKUP(AA173,'MIS FINANZAS'!$AQ$7:$AR$103,2,0),VLOOKUP(AA173,'MIS FINANZAS'!$AS$7:$AT$103,2,0)),"")</f>
        <v/>
      </c>
    </row>
    <row r="174" ht="15.75" customHeight="1">
      <c r="A174" s="1"/>
      <c r="B174" s="14" t="str">
        <f t="shared" si="1"/>
        <v/>
      </c>
      <c r="C174" s="119" t="str">
        <f>IF(B174="","",IF((IFERROR(MATCH(B174,'MIS FINANZAS'!$B$7:$B$103,0),0))&gt;0,"Ingreso","Gasto"))</f>
        <v/>
      </c>
      <c r="D174" s="119" t="str">
        <f>IFERROR(IF(C174="Ingreso",VLOOKUP(B174,'MIS FINANZAS'!$B$7:$F$103,2,0),VLOOKUP(B174,'MIS FINANZAS'!$H$7:$L$103,2,0)),"")</f>
        <v/>
      </c>
      <c r="E174" s="119" t="str">
        <f>IFERROR(IFERROR(VLOOKUP(B174,'MIS FINANZAS'!$B$7:$F$103,4,0),VLOOKUP(B174,'MIS FINANZAS'!$H$7:$L$103,4,0)),"")</f>
        <v/>
      </c>
      <c r="F174" s="119" t="str">
        <f>IFERROR(IF(C174="Ingreso",VLOOKUP(B174,'MIS FINANZAS'!$B$7:$F$103,3,0),VLOOKUP(B174,'MIS FINANZAS'!$H$7:$L$103,3,0)),"")</f>
        <v/>
      </c>
      <c r="G174" s="196" t="str">
        <f>IF(D174="No tan necesario",VLOOKUP(B174,'OPORTUNIDADES DE MEJORA'!$AL$7:$AQ$103,6,0),IF(D174="No necesario",VLOOKUP(B174,'OPORTUNIDADES DE MEJORA'!$AL$7:$AQ$103,6,0),IF(D174="Necesario",VLOOKUP(B174,'MIS FINANZAS'!$H$7:$L$103,5,0),IF(C174="Ingreso",VLOOKUP(B174,'MIS FINANZAS'!$B$7:$F$103,5,0),""))))</f>
        <v/>
      </c>
      <c r="H174" s="17" t="str">
        <f t="shared" si="2"/>
        <v/>
      </c>
      <c r="I174" s="196" t="str">
        <f t="shared" si="3"/>
        <v/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>
        <v>168.0</v>
      </c>
      <c r="AB174" s="1" t="str">
        <f>IFERROR(IFERROR(VLOOKUP(AA174,'MIS FINANZAS'!$AQ$7:$AR$103,2,0),VLOOKUP(AA174,'MIS FINANZAS'!$AS$7:$AT$103,2,0)),"")</f>
        <v/>
      </c>
    </row>
    <row r="175" ht="15.75" customHeight="1">
      <c r="A175" s="1"/>
      <c r="B175" s="14" t="str">
        <f t="shared" si="1"/>
        <v/>
      </c>
      <c r="C175" s="119" t="str">
        <f>IF(B175="","",IF((IFERROR(MATCH(B175,'MIS FINANZAS'!$B$7:$B$103,0),0))&gt;0,"Ingreso","Gasto"))</f>
        <v/>
      </c>
      <c r="D175" s="119" t="str">
        <f>IFERROR(IF(C175="Ingreso",VLOOKUP(B175,'MIS FINANZAS'!$B$7:$F$103,2,0),VLOOKUP(B175,'MIS FINANZAS'!$H$7:$L$103,2,0)),"")</f>
        <v/>
      </c>
      <c r="E175" s="119" t="str">
        <f>IFERROR(IFERROR(VLOOKUP(B175,'MIS FINANZAS'!$B$7:$F$103,4,0),VLOOKUP(B175,'MIS FINANZAS'!$H$7:$L$103,4,0)),"")</f>
        <v/>
      </c>
      <c r="F175" s="119" t="str">
        <f>IFERROR(IF(C175="Ingreso",VLOOKUP(B175,'MIS FINANZAS'!$B$7:$F$103,3,0),VLOOKUP(B175,'MIS FINANZAS'!$H$7:$L$103,3,0)),"")</f>
        <v/>
      </c>
      <c r="G175" s="196" t="str">
        <f>IF(D175="No tan necesario",VLOOKUP(B175,'OPORTUNIDADES DE MEJORA'!$AL$7:$AQ$103,6,0),IF(D175="No necesario",VLOOKUP(B175,'OPORTUNIDADES DE MEJORA'!$AL$7:$AQ$103,6,0),IF(D175="Necesario",VLOOKUP(B175,'MIS FINANZAS'!$H$7:$L$103,5,0),IF(C175="Ingreso",VLOOKUP(B175,'MIS FINANZAS'!$B$7:$F$103,5,0),""))))</f>
        <v/>
      </c>
      <c r="H175" s="17" t="str">
        <f t="shared" si="2"/>
        <v/>
      </c>
      <c r="I175" s="196" t="str">
        <f t="shared" si="3"/>
        <v/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>
        <v>169.0</v>
      </c>
      <c r="AB175" s="1" t="str">
        <f>IFERROR(IFERROR(VLOOKUP(AA175,'MIS FINANZAS'!$AQ$7:$AR$103,2,0),VLOOKUP(AA175,'MIS FINANZAS'!$AS$7:$AT$103,2,0)),"")</f>
        <v/>
      </c>
    </row>
    <row r="176" ht="15.75" customHeight="1">
      <c r="A176" s="1"/>
      <c r="B176" s="14" t="str">
        <f t="shared" si="1"/>
        <v/>
      </c>
      <c r="C176" s="119" t="str">
        <f>IF(B176="","",IF((IFERROR(MATCH(B176,'MIS FINANZAS'!$B$7:$B$103,0),0))&gt;0,"Ingreso","Gasto"))</f>
        <v/>
      </c>
      <c r="D176" s="119" t="str">
        <f>IFERROR(IF(C176="Ingreso",VLOOKUP(B176,'MIS FINANZAS'!$B$7:$F$103,2,0),VLOOKUP(B176,'MIS FINANZAS'!$H$7:$L$103,2,0)),"")</f>
        <v/>
      </c>
      <c r="E176" s="119" t="str">
        <f>IFERROR(IFERROR(VLOOKUP(B176,'MIS FINANZAS'!$B$7:$F$103,4,0),VLOOKUP(B176,'MIS FINANZAS'!$H$7:$L$103,4,0)),"")</f>
        <v/>
      </c>
      <c r="F176" s="119" t="str">
        <f>IFERROR(IF(C176="Ingreso",VLOOKUP(B176,'MIS FINANZAS'!$B$7:$F$103,3,0),VLOOKUP(B176,'MIS FINANZAS'!$H$7:$L$103,3,0)),"")</f>
        <v/>
      </c>
      <c r="G176" s="196" t="str">
        <f>IF(D176="No tan necesario",VLOOKUP(B176,'OPORTUNIDADES DE MEJORA'!$AL$7:$AQ$103,6,0),IF(D176="No necesario",VLOOKUP(B176,'OPORTUNIDADES DE MEJORA'!$AL$7:$AQ$103,6,0),IF(D176="Necesario",VLOOKUP(B176,'MIS FINANZAS'!$H$7:$L$103,5,0),IF(C176="Ingreso",VLOOKUP(B176,'MIS FINANZAS'!$B$7:$F$103,5,0),""))))</f>
        <v/>
      </c>
      <c r="H176" s="17" t="str">
        <f t="shared" si="2"/>
        <v/>
      </c>
      <c r="I176" s="196" t="str">
        <f t="shared" si="3"/>
        <v/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>
        <v>170.0</v>
      </c>
      <c r="AB176" s="1" t="str">
        <f>IFERROR(IFERROR(VLOOKUP(AA176,'MIS FINANZAS'!$AQ$7:$AR$103,2,0),VLOOKUP(AA176,'MIS FINANZAS'!$AS$7:$AT$103,2,0)),"")</f>
        <v/>
      </c>
    </row>
    <row r="177" ht="15.75" customHeight="1">
      <c r="A177" s="1"/>
      <c r="B177" s="14" t="str">
        <f t="shared" si="1"/>
        <v/>
      </c>
      <c r="C177" s="119" t="str">
        <f>IF(B177="","",IF((IFERROR(MATCH(B177,'MIS FINANZAS'!$B$7:$B$103,0),0))&gt;0,"Ingreso","Gasto"))</f>
        <v/>
      </c>
      <c r="D177" s="119" t="str">
        <f>IFERROR(IF(C177="Ingreso",VLOOKUP(B177,'MIS FINANZAS'!$B$7:$F$103,2,0),VLOOKUP(B177,'MIS FINANZAS'!$H$7:$L$103,2,0)),"")</f>
        <v/>
      </c>
      <c r="E177" s="119" t="str">
        <f>IFERROR(IFERROR(VLOOKUP(B177,'MIS FINANZAS'!$B$7:$F$103,4,0),VLOOKUP(B177,'MIS FINANZAS'!$H$7:$L$103,4,0)),"")</f>
        <v/>
      </c>
      <c r="F177" s="119" t="str">
        <f>IFERROR(IF(C177="Ingreso",VLOOKUP(B177,'MIS FINANZAS'!$B$7:$F$103,3,0),VLOOKUP(B177,'MIS FINANZAS'!$H$7:$L$103,3,0)),"")</f>
        <v/>
      </c>
      <c r="G177" s="196" t="str">
        <f>IF(D177="No tan necesario",VLOOKUP(B177,'OPORTUNIDADES DE MEJORA'!$AL$7:$AQ$103,6,0),IF(D177="No necesario",VLOOKUP(B177,'OPORTUNIDADES DE MEJORA'!$AL$7:$AQ$103,6,0),IF(D177="Necesario",VLOOKUP(B177,'MIS FINANZAS'!$H$7:$L$103,5,0),IF(C177="Ingreso",VLOOKUP(B177,'MIS FINANZAS'!$B$7:$F$103,5,0),""))))</f>
        <v/>
      </c>
      <c r="H177" s="17" t="str">
        <f t="shared" si="2"/>
        <v/>
      </c>
      <c r="I177" s="196" t="str">
        <f t="shared" si="3"/>
        <v/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>
        <v>171.0</v>
      </c>
      <c r="AB177" s="1" t="str">
        <f>IFERROR(IFERROR(VLOOKUP(AA177,'MIS FINANZAS'!$AQ$7:$AR$103,2,0),VLOOKUP(AA177,'MIS FINANZAS'!$AS$7:$AT$103,2,0)),"")</f>
        <v/>
      </c>
    </row>
    <row r="178" ht="15.75" customHeight="1">
      <c r="A178" s="1"/>
      <c r="B178" s="14" t="str">
        <f t="shared" si="1"/>
        <v/>
      </c>
      <c r="C178" s="119" t="str">
        <f>IF(B178="","",IF((IFERROR(MATCH(B178,'MIS FINANZAS'!$B$7:$B$103,0),0))&gt;0,"Ingreso","Gasto"))</f>
        <v/>
      </c>
      <c r="D178" s="119" t="str">
        <f>IFERROR(IF(C178="Ingreso",VLOOKUP(B178,'MIS FINANZAS'!$B$7:$F$103,2,0),VLOOKUP(B178,'MIS FINANZAS'!$H$7:$L$103,2,0)),"")</f>
        <v/>
      </c>
      <c r="E178" s="119" t="str">
        <f>IFERROR(IFERROR(VLOOKUP(B178,'MIS FINANZAS'!$B$7:$F$103,4,0),VLOOKUP(B178,'MIS FINANZAS'!$H$7:$L$103,4,0)),"")</f>
        <v/>
      </c>
      <c r="F178" s="119" t="str">
        <f>IFERROR(IF(C178="Ingreso",VLOOKUP(B178,'MIS FINANZAS'!$B$7:$F$103,3,0),VLOOKUP(B178,'MIS FINANZAS'!$H$7:$L$103,3,0)),"")</f>
        <v/>
      </c>
      <c r="G178" s="196" t="str">
        <f>IF(D178="No tan necesario",VLOOKUP(B178,'OPORTUNIDADES DE MEJORA'!$AL$7:$AQ$103,6,0),IF(D178="No necesario",VLOOKUP(B178,'OPORTUNIDADES DE MEJORA'!$AL$7:$AQ$103,6,0),IF(D178="Necesario",VLOOKUP(B178,'MIS FINANZAS'!$H$7:$L$103,5,0),IF(C178="Ingreso",VLOOKUP(B178,'MIS FINANZAS'!$B$7:$F$103,5,0),""))))</f>
        <v/>
      </c>
      <c r="H178" s="17" t="str">
        <f t="shared" si="2"/>
        <v/>
      </c>
      <c r="I178" s="196" t="str">
        <f t="shared" si="3"/>
        <v/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>
        <v>172.0</v>
      </c>
      <c r="AB178" s="1" t="str">
        <f>IFERROR(IFERROR(VLOOKUP(AA178,'MIS FINANZAS'!$AQ$7:$AR$103,2,0),VLOOKUP(AA178,'MIS FINANZAS'!$AS$7:$AT$103,2,0)),"")</f>
        <v/>
      </c>
    </row>
    <row r="179" ht="15.75" customHeight="1">
      <c r="A179" s="1"/>
      <c r="B179" s="14" t="str">
        <f t="shared" si="1"/>
        <v/>
      </c>
      <c r="C179" s="119" t="str">
        <f>IF(B179="","",IF((IFERROR(MATCH(B179,'MIS FINANZAS'!$B$7:$B$103,0),0))&gt;0,"Ingreso","Gasto"))</f>
        <v/>
      </c>
      <c r="D179" s="119" t="str">
        <f>IFERROR(IF(C179="Ingreso",VLOOKUP(B179,'MIS FINANZAS'!$B$7:$F$103,2,0),VLOOKUP(B179,'MIS FINANZAS'!$H$7:$L$103,2,0)),"")</f>
        <v/>
      </c>
      <c r="E179" s="119" t="str">
        <f>IFERROR(IFERROR(VLOOKUP(B179,'MIS FINANZAS'!$B$7:$F$103,4,0),VLOOKUP(B179,'MIS FINANZAS'!$H$7:$L$103,4,0)),"")</f>
        <v/>
      </c>
      <c r="F179" s="119" t="str">
        <f>IFERROR(IF(C179="Ingreso",VLOOKUP(B179,'MIS FINANZAS'!$B$7:$F$103,3,0),VLOOKUP(B179,'MIS FINANZAS'!$H$7:$L$103,3,0)),"")</f>
        <v/>
      </c>
      <c r="G179" s="196" t="str">
        <f>IF(D179="No tan necesario",VLOOKUP(B179,'OPORTUNIDADES DE MEJORA'!$AL$7:$AQ$103,6,0),IF(D179="No necesario",VLOOKUP(B179,'OPORTUNIDADES DE MEJORA'!$AL$7:$AQ$103,6,0),IF(D179="Necesario",VLOOKUP(B179,'MIS FINANZAS'!$H$7:$L$103,5,0),IF(C179="Ingreso",VLOOKUP(B179,'MIS FINANZAS'!$B$7:$F$103,5,0),""))))</f>
        <v/>
      </c>
      <c r="H179" s="17" t="str">
        <f t="shared" si="2"/>
        <v/>
      </c>
      <c r="I179" s="196" t="str">
        <f t="shared" si="3"/>
        <v/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>
        <v>173.0</v>
      </c>
      <c r="AB179" s="1" t="str">
        <f>IFERROR(IFERROR(VLOOKUP(AA179,'MIS FINANZAS'!$AQ$7:$AR$103,2,0),VLOOKUP(AA179,'MIS FINANZAS'!$AS$7:$AT$103,2,0)),"")</f>
        <v/>
      </c>
    </row>
    <row r="180" ht="15.75" customHeight="1">
      <c r="A180" s="1"/>
      <c r="B180" s="14" t="str">
        <f t="shared" si="1"/>
        <v/>
      </c>
      <c r="C180" s="119" t="str">
        <f>IF(B180="","",IF((IFERROR(MATCH(B180,'MIS FINANZAS'!$B$7:$B$103,0),0))&gt;0,"Ingreso","Gasto"))</f>
        <v/>
      </c>
      <c r="D180" s="119" t="str">
        <f>IFERROR(IF(C180="Ingreso",VLOOKUP(B180,'MIS FINANZAS'!$B$7:$F$103,2,0),VLOOKUP(B180,'MIS FINANZAS'!$H$7:$L$103,2,0)),"")</f>
        <v/>
      </c>
      <c r="E180" s="119" t="str">
        <f>IFERROR(IFERROR(VLOOKUP(B180,'MIS FINANZAS'!$B$7:$F$103,4,0),VLOOKUP(B180,'MIS FINANZAS'!$H$7:$L$103,4,0)),"")</f>
        <v/>
      </c>
      <c r="F180" s="119" t="str">
        <f>IFERROR(IF(C180="Ingreso",VLOOKUP(B180,'MIS FINANZAS'!$B$7:$F$103,3,0),VLOOKUP(B180,'MIS FINANZAS'!$H$7:$L$103,3,0)),"")</f>
        <v/>
      </c>
      <c r="G180" s="196" t="str">
        <f>IF(D180="No tan necesario",VLOOKUP(B180,'OPORTUNIDADES DE MEJORA'!$AL$7:$AQ$103,6,0),IF(D180="No necesario",VLOOKUP(B180,'OPORTUNIDADES DE MEJORA'!$AL$7:$AQ$103,6,0),IF(D180="Necesario",VLOOKUP(B180,'MIS FINANZAS'!$H$7:$L$103,5,0),IF(C180="Ingreso",VLOOKUP(B180,'MIS FINANZAS'!$B$7:$F$103,5,0),""))))</f>
        <v/>
      </c>
      <c r="H180" s="17" t="str">
        <f t="shared" si="2"/>
        <v/>
      </c>
      <c r="I180" s="196" t="str">
        <f t="shared" si="3"/>
        <v/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>
        <v>174.0</v>
      </c>
      <c r="AB180" s="1" t="str">
        <f>IFERROR(IFERROR(VLOOKUP(AA180,'MIS FINANZAS'!$AQ$7:$AR$103,2,0),VLOOKUP(AA180,'MIS FINANZAS'!$AS$7:$AT$103,2,0)),"")</f>
        <v/>
      </c>
    </row>
    <row r="181" ht="15.75" customHeight="1">
      <c r="A181" s="1"/>
      <c r="B181" s="14" t="str">
        <f t="shared" si="1"/>
        <v/>
      </c>
      <c r="C181" s="119" t="str">
        <f>IF(B181="","",IF((IFERROR(MATCH(B181,'MIS FINANZAS'!$B$7:$B$103,0),0))&gt;0,"Ingreso","Gasto"))</f>
        <v/>
      </c>
      <c r="D181" s="119" t="str">
        <f>IFERROR(IF(C181="Ingreso",VLOOKUP(B181,'MIS FINANZAS'!$B$7:$F$103,2,0),VLOOKUP(B181,'MIS FINANZAS'!$H$7:$L$103,2,0)),"")</f>
        <v/>
      </c>
      <c r="E181" s="119" t="str">
        <f>IFERROR(IFERROR(VLOOKUP(B181,'MIS FINANZAS'!$B$7:$F$103,4,0),VLOOKUP(B181,'MIS FINANZAS'!$H$7:$L$103,4,0)),"")</f>
        <v/>
      </c>
      <c r="F181" s="119" t="str">
        <f>IFERROR(IF(C181="Ingreso",VLOOKUP(B181,'MIS FINANZAS'!$B$7:$F$103,3,0),VLOOKUP(B181,'MIS FINANZAS'!$H$7:$L$103,3,0)),"")</f>
        <v/>
      </c>
      <c r="G181" s="196" t="str">
        <f>IF(D181="No tan necesario",VLOOKUP(B181,'OPORTUNIDADES DE MEJORA'!$AL$7:$AQ$103,6,0),IF(D181="No necesario",VLOOKUP(B181,'OPORTUNIDADES DE MEJORA'!$AL$7:$AQ$103,6,0),IF(D181="Necesario",VLOOKUP(B181,'MIS FINANZAS'!$H$7:$L$103,5,0),IF(C181="Ingreso",VLOOKUP(B181,'MIS FINANZAS'!$B$7:$F$103,5,0),""))))</f>
        <v/>
      </c>
      <c r="H181" s="17" t="str">
        <f t="shared" si="2"/>
        <v/>
      </c>
      <c r="I181" s="196" t="str">
        <f t="shared" si="3"/>
        <v/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>
        <v>175.0</v>
      </c>
      <c r="AB181" s="1" t="str">
        <f>IFERROR(IFERROR(VLOOKUP(AA181,'MIS FINANZAS'!$AQ$7:$AR$103,2,0),VLOOKUP(AA181,'MIS FINANZAS'!$AS$7:$AT$103,2,0)),"")</f>
        <v/>
      </c>
    </row>
    <row r="182" ht="15.75" customHeight="1">
      <c r="A182" s="1"/>
      <c r="B182" s="14" t="str">
        <f t="shared" si="1"/>
        <v/>
      </c>
      <c r="C182" s="119" t="str">
        <f>IF(B182="","",IF((IFERROR(MATCH(B182,'MIS FINANZAS'!$B$7:$B$103,0),0))&gt;0,"Ingreso","Gasto"))</f>
        <v/>
      </c>
      <c r="D182" s="119" t="str">
        <f>IFERROR(IF(C182="Ingreso",VLOOKUP(B182,'MIS FINANZAS'!$B$7:$F$103,2,0),VLOOKUP(B182,'MIS FINANZAS'!$H$7:$L$103,2,0)),"")</f>
        <v/>
      </c>
      <c r="E182" s="119" t="str">
        <f>IFERROR(IFERROR(VLOOKUP(B182,'MIS FINANZAS'!$B$7:$F$103,4,0),VLOOKUP(B182,'MIS FINANZAS'!$H$7:$L$103,4,0)),"")</f>
        <v/>
      </c>
      <c r="F182" s="119" t="str">
        <f>IFERROR(IF(C182="Ingreso",VLOOKUP(B182,'MIS FINANZAS'!$B$7:$F$103,3,0),VLOOKUP(B182,'MIS FINANZAS'!$H$7:$L$103,3,0)),"")</f>
        <v/>
      </c>
      <c r="G182" s="196" t="str">
        <f>IF(D182="No tan necesario",VLOOKUP(B182,'OPORTUNIDADES DE MEJORA'!$AL$7:$AQ$103,6,0),IF(D182="No necesario",VLOOKUP(B182,'OPORTUNIDADES DE MEJORA'!$AL$7:$AQ$103,6,0),IF(D182="Necesario",VLOOKUP(B182,'MIS FINANZAS'!$H$7:$L$103,5,0),IF(C182="Ingreso",VLOOKUP(B182,'MIS FINANZAS'!$B$7:$F$103,5,0),""))))</f>
        <v/>
      </c>
      <c r="H182" s="17" t="str">
        <f t="shared" si="2"/>
        <v/>
      </c>
      <c r="I182" s="196" t="str">
        <f t="shared" si="3"/>
        <v/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>
        <v>176.0</v>
      </c>
      <c r="AB182" s="1" t="str">
        <f>IFERROR(IFERROR(VLOOKUP(AA182,'MIS FINANZAS'!$AQ$7:$AR$103,2,0),VLOOKUP(AA182,'MIS FINANZAS'!$AS$7:$AT$103,2,0)),"")</f>
        <v/>
      </c>
    </row>
    <row r="183" ht="15.75" customHeight="1">
      <c r="A183" s="1"/>
      <c r="B183" s="14" t="str">
        <f t="shared" si="1"/>
        <v/>
      </c>
      <c r="C183" s="119" t="str">
        <f>IF(B183="","",IF((IFERROR(MATCH(B183,'MIS FINANZAS'!$B$7:$B$103,0),0))&gt;0,"Ingreso","Gasto"))</f>
        <v/>
      </c>
      <c r="D183" s="119" t="str">
        <f>IFERROR(IF(C183="Ingreso",VLOOKUP(B183,'MIS FINANZAS'!$B$7:$F$103,2,0),VLOOKUP(B183,'MIS FINANZAS'!$H$7:$L$103,2,0)),"")</f>
        <v/>
      </c>
      <c r="E183" s="119" t="str">
        <f>IFERROR(IFERROR(VLOOKUP(B183,'MIS FINANZAS'!$B$7:$F$103,4,0),VLOOKUP(B183,'MIS FINANZAS'!$H$7:$L$103,4,0)),"")</f>
        <v/>
      </c>
      <c r="F183" s="119" t="str">
        <f>IFERROR(IF(C183="Ingreso",VLOOKUP(B183,'MIS FINANZAS'!$B$7:$F$103,3,0),VLOOKUP(B183,'MIS FINANZAS'!$H$7:$L$103,3,0)),"")</f>
        <v/>
      </c>
      <c r="G183" s="196" t="str">
        <f>IF(D183="No tan necesario",VLOOKUP(B183,'OPORTUNIDADES DE MEJORA'!$AL$7:$AQ$103,6,0),IF(D183="No necesario",VLOOKUP(B183,'OPORTUNIDADES DE MEJORA'!$AL$7:$AQ$103,6,0),IF(D183="Necesario",VLOOKUP(B183,'MIS FINANZAS'!$H$7:$L$103,5,0),IF(C183="Ingreso",VLOOKUP(B183,'MIS FINANZAS'!$B$7:$F$103,5,0),""))))</f>
        <v/>
      </c>
      <c r="H183" s="17" t="str">
        <f t="shared" si="2"/>
        <v/>
      </c>
      <c r="I183" s="196" t="str">
        <f t="shared" si="3"/>
        <v/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>
        <v>177.0</v>
      </c>
      <c r="AB183" s="1" t="str">
        <f>IFERROR(IFERROR(VLOOKUP(AA183,'MIS FINANZAS'!$AQ$7:$AR$103,2,0),VLOOKUP(AA183,'MIS FINANZAS'!$AS$7:$AT$103,2,0)),"")</f>
        <v/>
      </c>
    </row>
    <row r="184" ht="15.75" customHeight="1">
      <c r="A184" s="1"/>
      <c r="B184" s="14" t="str">
        <f t="shared" si="1"/>
        <v/>
      </c>
      <c r="C184" s="119" t="str">
        <f>IF(B184="","",IF((IFERROR(MATCH(B184,'MIS FINANZAS'!$B$7:$B$103,0),0))&gt;0,"Ingreso","Gasto"))</f>
        <v/>
      </c>
      <c r="D184" s="119" t="str">
        <f>IFERROR(IF(C184="Ingreso",VLOOKUP(B184,'MIS FINANZAS'!$B$7:$F$103,2,0),VLOOKUP(B184,'MIS FINANZAS'!$H$7:$L$103,2,0)),"")</f>
        <v/>
      </c>
      <c r="E184" s="119" t="str">
        <f>IFERROR(IFERROR(VLOOKUP(B184,'MIS FINANZAS'!$B$7:$F$103,4,0),VLOOKUP(B184,'MIS FINANZAS'!$H$7:$L$103,4,0)),"")</f>
        <v/>
      </c>
      <c r="F184" s="119" t="str">
        <f>IFERROR(IF(C184="Ingreso",VLOOKUP(B184,'MIS FINANZAS'!$B$7:$F$103,3,0),VLOOKUP(B184,'MIS FINANZAS'!$H$7:$L$103,3,0)),"")</f>
        <v/>
      </c>
      <c r="G184" s="196" t="str">
        <f>IF(D184="No tan necesario",VLOOKUP(B184,'OPORTUNIDADES DE MEJORA'!$AL$7:$AQ$103,6,0),IF(D184="No necesario",VLOOKUP(B184,'OPORTUNIDADES DE MEJORA'!$AL$7:$AQ$103,6,0),IF(D184="Necesario",VLOOKUP(B184,'MIS FINANZAS'!$H$7:$L$103,5,0),IF(C184="Ingreso",VLOOKUP(B184,'MIS FINANZAS'!$B$7:$F$103,5,0),""))))</f>
        <v/>
      </c>
      <c r="H184" s="17" t="str">
        <f t="shared" si="2"/>
        <v/>
      </c>
      <c r="I184" s="196" t="str">
        <f t="shared" si="3"/>
        <v/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>
        <v>178.0</v>
      </c>
      <c r="AB184" s="1" t="str">
        <f>IFERROR(IFERROR(VLOOKUP(AA184,'MIS FINANZAS'!$AQ$7:$AR$103,2,0),VLOOKUP(AA184,'MIS FINANZAS'!$AS$7:$AT$103,2,0)),"")</f>
        <v/>
      </c>
    </row>
    <row r="185" ht="15.75" customHeight="1">
      <c r="A185" s="1"/>
      <c r="B185" s="14" t="str">
        <f t="shared" si="1"/>
        <v/>
      </c>
      <c r="C185" s="119" t="str">
        <f>IF(B185="","",IF((IFERROR(MATCH(B185,'MIS FINANZAS'!$B$7:$B$103,0),0))&gt;0,"Ingreso","Gasto"))</f>
        <v/>
      </c>
      <c r="D185" s="119" t="str">
        <f>IFERROR(IF(C185="Ingreso",VLOOKUP(B185,'MIS FINANZAS'!$B$7:$F$103,2,0),VLOOKUP(B185,'MIS FINANZAS'!$H$7:$L$103,2,0)),"")</f>
        <v/>
      </c>
      <c r="E185" s="119" t="str">
        <f>IFERROR(IFERROR(VLOOKUP(B185,'MIS FINANZAS'!$B$7:$F$103,4,0),VLOOKUP(B185,'MIS FINANZAS'!$H$7:$L$103,4,0)),"")</f>
        <v/>
      </c>
      <c r="F185" s="119" t="str">
        <f>IFERROR(IF(C185="Ingreso",VLOOKUP(B185,'MIS FINANZAS'!$B$7:$F$103,3,0),VLOOKUP(B185,'MIS FINANZAS'!$H$7:$L$103,3,0)),"")</f>
        <v/>
      </c>
      <c r="G185" s="196" t="str">
        <f>IF(D185="No tan necesario",VLOOKUP(B185,'OPORTUNIDADES DE MEJORA'!$AL$7:$AQ$103,6,0),IF(D185="No necesario",VLOOKUP(B185,'OPORTUNIDADES DE MEJORA'!$AL$7:$AQ$103,6,0),IF(D185="Necesario",VLOOKUP(B185,'MIS FINANZAS'!$H$7:$L$103,5,0),IF(C185="Ingreso",VLOOKUP(B185,'MIS FINANZAS'!$B$7:$F$103,5,0),""))))</f>
        <v/>
      </c>
      <c r="H185" s="17" t="str">
        <f t="shared" si="2"/>
        <v/>
      </c>
      <c r="I185" s="196" t="str">
        <f t="shared" si="3"/>
        <v/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>
        <v>179.0</v>
      </c>
      <c r="AB185" s="1" t="str">
        <f>IFERROR(IFERROR(VLOOKUP(AA185,'MIS FINANZAS'!$AQ$7:$AR$103,2,0),VLOOKUP(AA185,'MIS FINANZAS'!$AS$7:$AT$103,2,0)),"")</f>
        <v/>
      </c>
    </row>
    <row r="186" ht="15.75" customHeight="1">
      <c r="A186" s="1"/>
      <c r="B186" s="14" t="str">
        <f t="shared" si="1"/>
        <v/>
      </c>
      <c r="C186" s="119" t="str">
        <f>IF(B186="","",IF((IFERROR(MATCH(B186,'MIS FINANZAS'!$B$7:$B$103,0),0))&gt;0,"Ingreso","Gasto"))</f>
        <v/>
      </c>
      <c r="D186" s="119" t="str">
        <f>IFERROR(IF(C186="Ingreso",VLOOKUP(B186,'MIS FINANZAS'!$B$7:$F$103,2,0),VLOOKUP(B186,'MIS FINANZAS'!$H$7:$L$103,2,0)),"")</f>
        <v/>
      </c>
      <c r="E186" s="119" t="str">
        <f>IFERROR(IFERROR(VLOOKUP(B186,'MIS FINANZAS'!$B$7:$F$103,4,0),VLOOKUP(B186,'MIS FINANZAS'!$H$7:$L$103,4,0)),"")</f>
        <v/>
      </c>
      <c r="F186" s="119" t="str">
        <f>IFERROR(IF(C186="Ingreso",VLOOKUP(B186,'MIS FINANZAS'!$B$7:$F$103,3,0),VLOOKUP(B186,'MIS FINANZAS'!$H$7:$L$103,3,0)),"")</f>
        <v/>
      </c>
      <c r="G186" s="196" t="str">
        <f>IF(D186="No tan necesario",VLOOKUP(B186,'OPORTUNIDADES DE MEJORA'!$AL$7:$AQ$103,6,0),IF(D186="No necesario",VLOOKUP(B186,'OPORTUNIDADES DE MEJORA'!$AL$7:$AQ$103,6,0),IF(D186="Necesario",VLOOKUP(B186,'MIS FINANZAS'!$H$7:$L$103,5,0),IF(C186="Ingreso",VLOOKUP(B186,'MIS FINANZAS'!$B$7:$F$103,5,0),""))))</f>
        <v/>
      </c>
      <c r="H186" s="17" t="str">
        <f t="shared" si="2"/>
        <v/>
      </c>
      <c r="I186" s="196" t="str">
        <f t="shared" si="3"/>
        <v/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>
        <v>180.0</v>
      </c>
      <c r="AB186" s="1" t="str">
        <f>IFERROR(IFERROR(VLOOKUP(AA186,'MIS FINANZAS'!$AQ$7:$AR$103,2,0),VLOOKUP(AA186,'MIS FINANZAS'!$AS$7:$AT$103,2,0)),"")</f>
        <v/>
      </c>
    </row>
    <row r="187" ht="15.75" customHeight="1">
      <c r="A187" s="1"/>
      <c r="B187" s="14" t="str">
        <f t="shared" si="1"/>
        <v/>
      </c>
      <c r="C187" s="119" t="str">
        <f>IF(B187="","",IF((IFERROR(MATCH(B187,'MIS FINANZAS'!$B$7:$B$103,0),0))&gt;0,"Ingreso","Gasto"))</f>
        <v/>
      </c>
      <c r="D187" s="119" t="str">
        <f>IFERROR(IF(C187="Ingreso",VLOOKUP(B187,'MIS FINANZAS'!$B$7:$F$103,2,0),VLOOKUP(B187,'MIS FINANZAS'!$H$7:$L$103,2,0)),"")</f>
        <v/>
      </c>
      <c r="E187" s="119" t="str">
        <f>IFERROR(IFERROR(VLOOKUP(B187,'MIS FINANZAS'!$B$7:$F$103,4,0),VLOOKUP(B187,'MIS FINANZAS'!$H$7:$L$103,4,0)),"")</f>
        <v/>
      </c>
      <c r="F187" s="119" t="str">
        <f>IFERROR(IF(C187="Ingreso",VLOOKUP(B187,'MIS FINANZAS'!$B$7:$F$103,3,0),VLOOKUP(B187,'MIS FINANZAS'!$H$7:$L$103,3,0)),"")</f>
        <v/>
      </c>
      <c r="G187" s="196" t="str">
        <f>IF(D187="No tan necesario",VLOOKUP(B187,'OPORTUNIDADES DE MEJORA'!$AL$7:$AQ$103,6,0),IF(D187="No necesario",VLOOKUP(B187,'OPORTUNIDADES DE MEJORA'!$AL$7:$AQ$103,6,0),IF(D187="Necesario",VLOOKUP(B187,'MIS FINANZAS'!$H$7:$L$103,5,0),IF(C187="Ingreso",VLOOKUP(B187,'MIS FINANZAS'!$B$7:$F$103,5,0),""))))</f>
        <v/>
      </c>
      <c r="H187" s="17" t="str">
        <f t="shared" si="2"/>
        <v/>
      </c>
      <c r="I187" s="196" t="str">
        <f t="shared" si="3"/>
        <v/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>
        <v>181.0</v>
      </c>
      <c r="AB187" s="1" t="str">
        <f>IFERROR(IFERROR(VLOOKUP(AA187,'MIS FINANZAS'!$AQ$7:$AR$103,2,0),VLOOKUP(AA187,'MIS FINANZAS'!$AS$7:$AT$103,2,0)),"")</f>
        <v/>
      </c>
    </row>
    <row r="188" ht="15.75" customHeight="1">
      <c r="A188" s="1"/>
      <c r="B188" s="14" t="str">
        <f t="shared" si="1"/>
        <v/>
      </c>
      <c r="C188" s="119" t="str">
        <f>IF(B188="","",IF((IFERROR(MATCH(B188,'MIS FINANZAS'!$B$7:$B$103,0),0))&gt;0,"Ingreso","Gasto"))</f>
        <v/>
      </c>
      <c r="D188" s="119" t="str">
        <f>IFERROR(IF(C188="Ingreso",VLOOKUP(B188,'MIS FINANZAS'!$B$7:$F$103,2,0),VLOOKUP(B188,'MIS FINANZAS'!$H$7:$L$103,2,0)),"")</f>
        <v/>
      </c>
      <c r="E188" s="119" t="str">
        <f>IFERROR(IFERROR(VLOOKUP(B188,'MIS FINANZAS'!$B$7:$F$103,4,0),VLOOKUP(B188,'MIS FINANZAS'!$H$7:$L$103,4,0)),"")</f>
        <v/>
      </c>
      <c r="F188" s="119" t="str">
        <f>IFERROR(IF(C188="Ingreso",VLOOKUP(B188,'MIS FINANZAS'!$B$7:$F$103,3,0),VLOOKUP(B188,'MIS FINANZAS'!$H$7:$L$103,3,0)),"")</f>
        <v/>
      </c>
      <c r="G188" s="196" t="str">
        <f>IF(D188="No tan necesario",VLOOKUP(B188,'OPORTUNIDADES DE MEJORA'!$AL$7:$AQ$103,6,0),IF(D188="No necesario",VLOOKUP(B188,'OPORTUNIDADES DE MEJORA'!$AL$7:$AQ$103,6,0),IF(D188="Necesario",VLOOKUP(B188,'MIS FINANZAS'!$H$7:$L$103,5,0),IF(C188="Ingreso",VLOOKUP(B188,'MIS FINANZAS'!$B$7:$F$103,5,0),""))))</f>
        <v/>
      </c>
      <c r="H188" s="17" t="str">
        <f t="shared" si="2"/>
        <v/>
      </c>
      <c r="I188" s="196" t="str">
        <f t="shared" si="3"/>
        <v/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>
        <v>182.0</v>
      </c>
      <c r="AB188" s="1" t="str">
        <f>IFERROR(IFERROR(VLOOKUP(AA188,'MIS FINANZAS'!$AQ$7:$AR$103,2,0),VLOOKUP(AA188,'MIS FINANZAS'!$AS$7:$AT$103,2,0)),"")</f>
        <v/>
      </c>
    </row>
    <row r="189" ht="15.75" customHeight="1">
      <c r="A189" s="1"/>
      <c r="B189" s="14" t="str">
        <f t="shared" si="1"/>
        <v/>
      </c>
      <c r="C189" s="119" t="str">
        <f>IF(B189="","",IF((IFERROR(MATCH(B189,'MIS FINANZAS'!$B$7:$B$103,0),0))&gt;0,"Ingreso","Gasto"))</f>
        <v/>
      </c>
      <c r="D189" s="119" t="str">
        <f>IFERROR(IF(C189="Ingreso",VLOOKUP(B189,'MIS FINANZAS'!$B$7:$F$103,2,0),VLOOKUP(B189,'MIS FINANZAS'!$H$7:$L$103,2,0)),"")</f>
        <v/>
      </c>
      <c r="E189" s="119" t="str">
        <f>IFERROR(IFERROR(VLOOKUP(B189,'MIS FINANZAS'!$B$7:$F$103,4,0),VLOOKUP(B189,'MIS FINANZAS'!$H$7:$L$103,4,0)),"")</f>
        <v/>
      </c>
      <c r="F189" s="119" t="str">
        <f>IFERROR(IF(C189="Ingreso",VLOOKUP(B189,'MIS FINANZAS'!$B$7:$F$103,3,0),VLOOKUP(B189,'MIS FINANZAS'!$H$7:$L$103,3,0)),"")</f>
        <v/>
      </c>
      <c r="G189" s="196" t="str">
        <f>IF(D189="No tan necesario",VLOOKUP(B189,'OPORTUNIDADES DE MEJORA'!$AL$7:$AQ$103,6,0),IF(D189="No necesario",VLOOKUP(B189,'OPORTUNIDADES DE MEJORA'!$AL$7:$AQ$103,6,0),IF(D189="Necesario",VLOOKUP(B189,'MIS FINANZAS'!$H$7:$L$103,5,0),IF(C189="Ingreso",VLOOKUP(B189,'MIS FINANZAS'!$B$7:$F$103,5,0),""))))</f>
        <v/>
      </c>
      <c r="H189" s="17" t="str">
        <f t="shared" si="2"/>
        <v/>
      </c>
      <c r="I189" s="196" t="str">
        <f t="shared" si="3"/>
        <v/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>
        <v>183.0</v>
      </c>
      <c r="AB189" s="1" t="str">
        <f>IFERROR(IFERROR(VLOOKUP(AA189,'MIS FINANZAS'!$AQ$7:$AR$103,2,0),VLOOKUP(AA189,'MIS FINANZAS'!$AS$7:$AT$103,2,0)),"")</f>
        <v/>
      </c>
    </row>
    <row r="190" ht="15.75" customHeight="1">
      <c r="A190" s="1"/>
      <c r="B190" s="14" t="str">
        <f t="shared" si="1"/>
        <v/>
      </c>
      <c r="C190" s="119" t="str">
        <f>IF(B190="","",IF((IFERROR(MATCH(B190,'MIS FINANZAS'!$B$7:$B$103,0),0))&gt;0,"Ingreso","Gasto"))</f>
        <v/>
      </c>
      <c r="D190" s="119" t="str">
        <f>IFERROR(IF(C190="Ingreso",VLOOKUP(B190,'MIS FINANZAS'!$B$7:$F$103,2,0),VLOOKUP(B190,'MIS FINANZAS'!$H$7:$L$103,2,0)),"")</f>
        <v/>
      </c>
      <c r="E190" s="119" t="str">
        <f>IFERROR(IFERROR(VLOOKUP(B190,'MIS FINANZAS'!$B$7:$F$103,4,0),VLOOKUP(B190,'MIS FINANZAS'!$H$7:$L$103,4,0)),"")</f>
        <v/>
      </c>
      <c r="F190" s="119" t="str">
        <f>IFERROR(IF(C190="Ingreso",VLOOKUP(B190,'MIS FINANZAS'!$B$7:$F$103,3,0),VLOOKUP(B190,'MIS FINANZAS'!$H$7:$L$103,3,0)),"")</f>
        <v/>
      </c>
      <c r="G190" s="196" t="str">
        <f>IF(D190="No tan necesario",VLOOKUP(B190,'OPORTUNIDADES DE MEJORA'!$AL$7:$AQ$103,6,0),IF(D190="No necesario",VLOOKUP(B190,'OPORTUNIDADES DE MEJORA'!$AL$7:$AQ$103,6,0),IF(D190="Necesario",VLOOKUP(B190,'MIS FINANZAS'!$H$7:$L$103,5,0),IF(C190="Ingreso",VLOOKUP(B190,'MIS FINANZAS'!$B$7:$F$103,5,0),""))))</f>
        <v/>
      </c>
      <c r="H190" s="17" t="str">
        <f t="shared" si="2"/>
        <v/>
      </c>
      <c r="I190" s="196" t="str">
        <f t="shared" si="3"/>
        <v/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>
        <v>184.0</v>
      </c>
      <c r="AB190" s="1" t="str">
        <f>IFERROR(IFERROR(VLOOKUP(AA190,'MIS FINANZAS'!$AQ$7:$AR$103,2,0),VLOOKUP(AA190,'MIS FINANZAS'!$AS$7:$AT$103,2,0)),"")</f>
        <v/>
      </c>
    </row>
    <row r="191" ht="15.75" customHeight="1">
      <c r="A191" s="1"/>
      <c r="B191" s="14" t="str">
        <f t="shared" si="1"/>
        <v/>
      </c>
      <c r="C191" s="119" t="str">
        <f>IF(B191="","",IF((IFERROR(MATCH(B191,'MIS FINANZAS'!$B$7:$B$103,0),0))&gt;0,"Ingreso","Gasto"))</f>
        <v/>
      </c>
      <c r="D191" s="119" t="str">
        <f>IFERROR(IF(C191="Ingreso",VLOOKUP(B191,'MIS FINANZAS'!$B$7:$F$103,2,0),VLOOKUP(B191,'MIS FINANZAS'!$H$7:$L$103,2,0)),"")</f>
        <v/>
      </c>
      <c r="E191" s="119" t="str">
        <f>IFERROR(IFERROR(VLOOKUP(B191,'MIS FINANZAS'!$B$7:$F$103,4,0),VLOOKUP(B191,'MIS FINANZAS'!$H$7:$L$103,4,0)),"")</f>
        <v/>
      </c>
      <c r="F191" s="119" t="str">
        <f>IFERROR(IF(C191="Ingreso",VLOOKUP(B191,'MIS FINANZAS'!$B$7:$F$103,3,0),VLOOKUP(B191,'MIS FINANZAS'!$H$7:$L$103,3,0)),"")</f>
        <v/>
      </c>
      <c r="G191" s="196" t="str">
        <f>IF(D191="No tan necesario",VLOOKUP(B191,'OPORTUNIDADES DE MEJORA'!$AL$7:$AQ$103,6,0),IF(D191="No necesario",VLOOKUP(B191,'OPORTUNIDADES DE MEJORA'!$AL$7:$AQ$103,6,0),IF(D191="Necesario",VLOOKUP(B191,'MIS FINANZAS'!$H$7:$L$103,5,0),IF(C191="Ingreso",VLOOKUP(B191,'MIS FINANZAS'!$B$7:$F$103,5,0),""))))</f>
        <v/>
      </c>
      <c r="H191" s="17" t="str">
        <f t="shared" si="2"/>
        <v/>
      </c>
      <c r="I191" s="196" t="str">
        <f t="shared" si="3"/>
        <v/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>
        <v>185.0</v>
      </c>
      <c r="AB191" s="1" t="str">
        <f>IFERROR(IFERROR(VLOOKUP(AA191,'MIS FINANZAS'!$AQ$7:$AR$103,2,0),VLOOKUP(AA191,'MIS FINANZAS'!$AS$7:$AT$103,2,0)),"")</f>
        <v/>
      </c>
    </row>
    <row r="192" ht="15.75" customHeight="1">
      <c r="A192" s="1"/>
      <c r="B192" s="14" t="str">
        <f t="shared" si="1"/>
        <v/>
      </c>
      <c r="C192" s="119" t="str">
        <f>IF(B192="","",IF((IFERROR(MATCH(B192,'MIS FINANZAS'!$B$7:$B$103,0),0))&gt;0,"Ingreso","Gasto"))</f>
        <v/>
      </c>
      <c r="D192" s="119" t="str">
        <f>IFERROR(IF(C192="Ingreso",VLOOKUP(B192,'MIS FINANZAS'!$B$7:$F$103,2,0),VLOOKUP(B192,'MIS FINANZAS'!$H$7:$L$103,2,0)),"")</f>
        <v/>
      </c>
      <c r="E192" s="119" t="str">
        <f>IFERROR(IFERROR(VLOOKUP(B192,'MIS FINANZAS'!$B$7:$F$103,4,0),VLOOKUP(B192,'MIS FINANZAS'!$H$7:$L$103,4,0)),"")</f>
        <v/>
      </c>
      <c r="F192" s="119" t="str">
        <f>IFERROR(IF(C192="Ingreso",VLOOKUP(B192,'MIS FINANZAS'!$B$7:$F$103,3,0),VLOOKUP(B192,'MIS FINANZAS'!$H$7:$L$103,3,0)),"")</f>
        <v/>
      </c>
      <c r="G192" s="196" t="str">
        <f>IF(D192="No tan necesario",VLOOKUP(B192,'OPORTUNIDADES DE MEJORA'!$AL$7:$AQ$103,6,0),IF(D192="No necesario",VLOOKUP(B192,'OPORTUNIDADES DE MEJORA'!$AL$7:$AQ$103,6,0),IF(D192="Necesario",VLOOKUP(B192,'MIS FINANZAS'!$H$7:$L$103,5,0),IF(C192="Ingreso",VLOOKUP(B192,'MIS FINANZAS'!$B$7:$F$103,5,0),""))))</f>
        <v/>
      </c>
      <c r="H192" s="17" t="str">
        <f t="shared" si="2"/>
        <v/>
      </c>
      <c r="I192" s="196" t="str">
        <f t="shared" si="3"/>
        <v/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>
        <v>186.0</v>
      </c>
      <c r="AB192" s="1" t="str">
        <f>IFERROR(IFERROR(VLOOKUP(AA192,'MIS FINANZAS'!$AQ$7:$AR$103,2,0),VLOOKUP(AA192,'MIS FINANZAS'!$AS$7:$AT$103,2,0)),"")</f>
        <v/>
      </c>
    </row>
    <row r="193" ht="15.75" customHeight="1">
      <c r="A193" s="1"/>
      <c r="B193" s="14" t="str">
        <f t="shared" si="1"/>
        <v/>
      </c>
      <c r="C193" s="119" t="str">
        <f>IF(B193="","",IF((IFERROR(MATCH(B193,'MIS FINANZAS'!$B$7:$B$103,0),0))&gt;0,"Ingreso","Gasto"))</f>
        <v/>
      </c>
      <c r="D193" s="119" t="str">
        <f>IFERROR(IF(C193="Ingreso",VLOOKUP(B193,'MIS FINANZAS'!$B$7:$F$103,2,0),VLOOKUP(B193,'MIS FINANZAS'!$H$7:$L$103,2,0)),"")</f>
        <v/>
      </c>
      <c r="E193" s="119" t="str">
        <f>IFERROR(IFERROR(VLOOKUP(B193,'MIS FINANZAS'!$B$7:$F$103,4,0),VLOOKUP(B193,'MIS FINANZAS'!$H$7:$L$103,4,0)),"")</f>
        <v/>
      </c>
      <c r="F193" s="119" t="str">
        <f>IFERROR(IF(C193="Ingreso",VLOOKUP(B193,'MIS FINANZAS'!$B$7:$F$103,3,0),VLOOKUP(B193,'MIS FINANZAS'!$H$7:$L$103,3,0)),"")</f>
        <v/>
      </c>
      <c r="G193" s="196" t="str">
        <f>IF(D193="No tan necesario",VLOOKUP(B193,'OPORTUNIDADES DE MEJORA'!$AL$7:$AQ$103,6,0),IF(D193="No necesario",VLOOKUP(B193,'OPORTUNIDADES DE MEJORA'!$AL$7:$AQ$103,6,0),IF(D193="Necesario",VLOOKUP(B193,'MIS FINANZAS'!$H$7:$L$103,5,0),IF(C193="Ingreso",VLOOKUP(B193,'MIS FINANZAS'!$B$7:$F$103,5,0),""))))</f>
        <v/>
      </c>
      <c r="H193" s="17" t="str">
        <f t="shared" si="2"/>
        <v/>
      </c>
      <c r="I193" s="196" t="str">
        <f t="shared" si="3"/>
        <v/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>
        <v>187.0</v>
      </c>
      <c r="AB193" s="1" t="str">
        <f>IFERROR(IFERROR(VLOOKUP(AA193,'MIS FINANZAS'!$AQ$7:$AR$103,2,0),VLOOKUP(AA193,'MIS FINANZAS'!$AS$7:$AT$103,2,0)),"")</f>
        <v/>
      </c>
    </row>
    <row r="194" ht="15.75" customHeight="1">
      <c r="A194" s="1"/>
      <c r="B194" s="14" t="str">
        <f t="shared" si="1"/>
        <v/>
      </c>
      <c r="C194" s="119" t="str">
        <f>IF(B194="","",IF((IFERROR(MATCH(B194,'MIS FINANZAS'!$B$7:$B$103,0),0))&gt;0,"Ingreso","Gasto"))</f>
        <v/>
      </c>
      <c r="D194" s="119" t="str">
        <f>IFERROR(IF(C194="Ingreso",VLOOKUP(B194,'MIS FINANZAS'!$B$7:$F$103,2,0),VLOOKUP(B194,'MIS FINANZAS'!$H$7:$L$103,2,0)),"")</f>
        <v/>
      </c>
      <c r="E194" s="119" t="str">
        <f>IFERROR(IFERROR(VLOOKUP(B194,'MIS FINANZAS'!$B$7:$F$103,4,0),VLOOKUP(B194,'MIS FINANZAS'!$H$7:$L$103,4,0)),"")</f>
        <v/>
      </c>
      <c r="F194" s="119" t="str">
        <f>IFERROR(IF(C194="Ingreso",VLOOKUP(B194,'MIS FINANZAS'!$B$7:$F$103,3,0),VLOOKUP(B194,'MIS FINANZAS'!$H$7:$L$103,3,0)),"")</f>
        <v/>
      </c>
      <c r="G194" s="196" t="str">
        <f>IF(D194="No tan necesario",VLOOKUP(B194,'OPORTUNIDADES DE MEJORA'!$AL$7:$AQ$103,6,0),IF(D194="No necesario",VLOOKUP(B194,'OPORTUNIDADES DE MEJORA'!$AL$7:$AQ$103,6,0),IF(D194="Necesario",VLOOKUP(B194,'MIS FINANZAS'!$H$7:$L$103,5,0),IF(C194="Ingreso",VLOOKUP(B194,'MIS FINANZAS'!$B$7:$F$103,5,0),""))))</f>
        <v/>
      </c>
      <c r="H194" s="17" t="str">
        <f t="shared" si="2"/>
        <v/>
      </c>
      <c r="I194" s="196" t="str">
        <f t="shared" si="3"/>
        <v/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>
        <v>188.0</v>
      </c>
      <c r="AB194" s="1" t="str">
        <f>IFERROR(IFERROR(VLOOKUP(AA194,'MIS FINANZAS'!$AQ$7:$AR$103,2,0),VLOOKUP(AA194,'MIS FINANZAS'!$AS$7:$AT$103,2,0)),"")</f>
        <v/>
      </c>
    </row>
    <row r="195" ht="15.75" customHeight="1">
      <c r="A195" s="1"/>
      <c r="B195" s="14" t="str">
        <f t="shared" si="1"/>
        <v/>
      </c>
      <c r="C195" s="119" t="str">
        <f>IF(B195="","",IF((IFERROR(MATCH(B195,'MIS FINANZAS'!$B$7:$B$103,0),0))&gt;0,"Ingreso","Gasto"))</f>
        <v/>
      </c>
      <c r="D195" s="119" t="str">
        <f>IFERROR(IF(C195="Ingreso",VLOOKUP(B195,'MIS FINANZAS'!$B$7:$F$103,2,0),VLOOKUP(B195,'MIS FINANZAS'!$H$7:$L$103,2,0)),"")</f>
        <v/>
      </c>
      <c r="E195" s="119" t="str">
        <f>IFERROR(IFERROR(VLOOKUP(B195,'MIS FINANZAS'!$B$7:$F$103,4,0),VLOOKUP(B195,'MIS FINANZAS'!$H$7:$L$103,4,0)),"")</f>
        <v/>
      </c>
      <c r="F195" s="119" t="str">
        <f>IFERROR(IF(C195="Ingreso",VLOOKUP(B195,'MIS FINANZAS'!$B$7:$F$103,3,0),VLOOKUP(B195,'MIS FINANZAS'!$H$7:$L$103,3,0)),"")</f>
        <v/>
      </c>
      <c r="G195" s="196" t="str">
        <f>IF(D195="No tan necesario",VLOOKUP(B195,'OPORTUNIDADES DE MEJORA'!$AL$7:$AQ$103,6,0),IF(D195="No necesario",VLOOKUP(B195,'OPORTUNIDADES DE MEJORA'!$AL$7:$AQ$103,6,0),IF(D195="Necesario",VLOOKUP(B195,'MIS FINANZAS'!$H$7:$L$103,5,0),IF(C195="Ingreso",VLOOKUP(B195,'MIS FINANZAS'!$B$7:$F$103,5,0),""))))</f>
        <v/>
      </c>
      <c r="H195" s="17" t="str">
        <f t="shared" si="2"/>
        <v/>
      </c>
      <c r="I195" s="196" t="str">
        <f t="shared" si="3"/>
        <v/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>
        <v>189.0</v>
      </c>
      <c r="AB195" s="1" t="str">
        <f>IFERROR(IFERROR(VLOOKUP(AA195,'MIS FINANZAS'!$AQ$7:$AR$103,2,0),VLOOKUP(AA195,'MIS FINANZAS'!$AS$7:$AT$103,2,0)),"")</f>
        <v/>
      </c>
    </row>
    <row r="196" ht="15.75" customHeight="1">
      <c r="A196" s="1"/>
      <c r="B196" s="14" t="str">
        <f t="shared" si="1"/>
        <v/>
      </c>
      <c r="C196" s="119" t="str">
        <f>IF(B196="","",IF((IFERROR(MATCH(B196,'MIS FINANZAS'!$B$7:$B$103,0),0))&gt;0,"Ingreso","Gasto"))</f>
        <v/>
      </c>
      <c r="D196" s="119" t="str">
        <f>IFERROR(IF(C196="Ingreso",VLOOKUP(B196,'MIS FINANZAS'!$B$7:$F$103,2,0),VLOOKUP(B196,'MIS FINANZAS'!$H$7:$L$103,2,0)),"")</f>
        <v/>
      </c>
      <c r="E196" s="119" t="str">
        <f>IFERROR(IFERROR(VLOOKUP(B196,'MIS FINANZAS'!$B$7:$F$103,4,0),VLOOKUP(B196,'MIS FINANZAS'!$H$7:$L$103,4,0)),"")</f>
        <v/>
      </c>
      <c r="F196" s="119" t="str">
        <f>IFERROR(IF(C196="Ingreso",VLOOKUP(B196,'MIS FINANZAS'!$B$7:$F$103,3,0),VLOOKUP(B196,'MIS FINANZAS'!$H$7:$L$103,3,0)),"")</f>
        <v/>
      </c>
      <c r="G196" s="196" t="str">
        <f>IF(D196="No tan necesario",VLOOKUP(B196,'OPORTUNIDADES DE MEJORA'!$AL$7:$AQ$103,6,0),IF(D196="No necesario",VLOOKUP(B196,'OPORTUNIDADES DE MEJORA'!$AL$7:$AQ$103,6,0),IF(D196="Necesario",VLOOKUP(B196,'MIS FINANZAS'!$H$7:$L$103,5,0),IF(C196="Ingreso",VLOOKUP(B196,'MIS FINANZAS'!$B$7:$F$103,5,0),""))))</f>
        <v/>
      </c>
      <c r="H196" s="17" t="str">
        <f t="shared" si="2"/>
        <v/>
      </c>
      <c r="I196" s="196" t="str">
        <f t="shared" si="3"/>
        <v/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>
        <v>190.0</v>
      </c>
      <c r="AB196" s="1" t="str">
        <f>IFERROR(IFERROR(VLOOKUP(AA196,'MIS FINANZAS'!$AQ$7:$AR$103,2,0),VLOOKUP(AA196,'MIS FINANZAS'!$AS$7:$AT$103,2,0)),"")</f>
        <v/>
      </c>
    </row>
    <row r="197" ht="15.75" customHeight="1">
      <c r="A197" s="1"/>
      <c r="B197" s="14" t="str">
        <f t="shared" si="1"/>
        <v/>
      </c>
      <c r="C197" s="119" t="str">
        <f>IF(B197="","",IF((IFERROR(MATCH(B197,'MIS FINANZAS'!$B$7:$B$103,0),0))&gt;0,"Ingreso","Gasto"))</f>
        <v/>
      </c>
      <c r="D197" s="119" t="str">
        <f>IFERROR(IF(C197="Ingreso",VLOOKUP(B197,'MIS FINANZAS'!$B$7:$F$103,2,0),VLOOKUP(B197,'MIS FINANZAS'!$H$7:$L$103,2,0)),"")</f>
        <v/>
      </c>
      <c r="E197" s="119" t="str">
        <f>IFERROR(IFERROR(VLOOKUP(B197,'MIS FINANZAS'!$B$7:$F$103,4,0),VLOOKUP(B197,'MIS FINANZAS'!$H$7:$L$103,4,0)),"")</f>
        <v/>
      </c>
      <c r="F197" s="119" t="str">
        <f>IFERROR(IF(C197="Ingreso",VLOOKUP(B197,'MIS FINANZAS'!$B$7:$F$103,3,0),VLOOKUP(B197,'MIS FINANZAS'!$H$7:$L$103,3,0)),"")</f>
        <v/>
      </c>
      <c r="G197" s="196" t="str">
        <f>IF(D197="No tan necesario",VLOOKUP(B197,'OPORTUNIDADES DE MEJORA'!$AL$7:$AQ$103,6,0),IF(D197="No necesario",VLOOKUP(B197,'OPORTUNIDADES DE MEJORA'!$AL$7:$AQ$103,6,0),IF(D197="Necesario",VLOOKUP(B197,'MIS FINANZAS'!$H$7:$L$103,5,0),IF(C197="Ingreso",VLOOKUP(B197,'MIS FINANZAS'!$B$7:$F$103,5,0),""))))</f>
        <v/>
      </c>
      <c r="H197" s="17" t="str">
        <f t="shared" si="2"/>
        <v/>
      </c>
      <c r="I197" s="196" t="str">
        <f t="shared" si="3"/>
        <v/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>
        <v>191.0</v>
      </c>
      <c r="AB197" s="1" t="str">
        <f>IFERROR(IFERROR(VLOOKUP(AA197,'MIS FINANZAS'!$AQ$7:$AR$103,2,0),VLOOKUP(AA197,'MIS FINANZAS'!$AS$7:$AT$103,2,0)),"")</f>
        <v/>
      </c>
    </row>
    <row r="198" ht="15.75" customHeight="1">
      <c r="A198" s="1"/>
      <c r="B198" s="14" t="str">
        <f t="shared" si="1"/>
        <v/>
      </c>
      <c r="C198" s="119" t="str">
        <f>IF(B198="","",IF((IFERROR(MATCH(B198,'MIS FINANZAS'!$B$7:$B$103,0),0))&gt;0,"Ingreso","Gasto"))</f>
        <v/>
      </c>
      <c r="D198" s="119" t="str">
        <f>IFERROR(IF(C198="Ingreso",VLOOKUP(B198,'MIS FINANZAS'!$B$7:$F$103,2,0),VLOOKUP(B198,'MIS FINANZAS'!$H$7:$L$103,2,0)),"")</f>
        <v/>
      </c>
      <c r="E198" s="119" t="str">
        <f>IFERROR(IFERROR(VLOOKUP(B198,'MIS FINANZAS'!$B$7:$F$103,4,0),VLOOKUP(B198,'MIS FINANZAS'!$H$7:$L$103,4,0)),"")</f>
        <v/>
      </c>
      <c r="F198" s="119" t="str">
        <f>IFERROR(IF(C198="Ingreso",VLOOKUP(B198,'MIS FINANZAS'!$B$7:$F$103,3,0),VLOOKUP(B198,'MIS FINANZAS'!$H$7:$L$103,3,0)),"")</f>
        <v/>
      </c>
      <c r="G198" s="196" t="str">
        <f>IF(D198="No tan necesario",VLOOKUP(B198,'OPORTUNIDADES DE MEJORA'!$AL$7:$AQ$103,6,0),IF(D198="No necesario",VLOOKUP(B198,'OPORTUNIDADES DE MEJORA'!$AL$7:$AQ$103,6,0),IF(D198="Necesario",VLOOKUP(B198,'MIS FINANZAS'!$H$7:$L$103,5,0),IF(C198="Ingreso",VLOOKUP(B198,'MIS FINANZAS'!$B$7:$F$103,5,0),""))))</f>
        <v/>
      </c>
      <c r="H198" s="17" t="str">
        <f t="shared" si="2"/>
        <v/>
      </c>
      <c r="I198" s="196" t="str">
        <f t="shared" si="3"/>
        <v/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>
        <v>192.0</v>
      </c>
      <c r="AB198" s="1" t="str">
        <f>IFERROR(IFERROR(VLOOKUP(AA198,'MIS FINANZAS'!$AQ$7:$AR$103,2,0),VLOOKUP(AA198,'MIS FINANZAS'!$AS$7:$AT$103,2,0)),"")</f>
        <v/>
      </c>
    </row>
    <row r="199" ht="15.75" customHeight="1">
      <c r="A199" s="1"/>
      <c r="B199" s="22" t="str">
        <f t="shared" si="1"/>
        <v/>
      </c>
      <c r="C199" s="208" t="str">
        <f>IF(B199="","",IF((IFERROR(MATCH(B199,'MIS FINANZAS'!$B$7:$B$103,0),0))&gt;0,"Ingreso","Gasto"))</f>
        <v/>
      </c>
      <c r="D199" s="208" t="str">
        <f>IFERROR(IF(C199="Ingreso",VLOOKUP(B199,'MIS FINANZAS'!$B$7:$F$103,2,0),VLOOKUP(B199,'MIS FINANZAS'!$H$7:$L$103,2,0)),"")</f>
        <v/>
      </c>
      <c r="E199" s="208" t="str">
        <f>IFERROR(IFERROR(VLOOKUP(B199,'MIS FINANZAS'!$B$7:$F$103,4,0),VLOOKUP(B199,'MIS FINANZAS'!$H$7:$L$103,4,0)),"")</f>
        <v/>
      </c>
      <c r="F199" s="208" t="str">
        <f>IFERROR(IF(C199="Ingreso",VLOOKUP(B199,'MIS FINANZAS'!$B$7:$F$103,3,0),VLOOKUP(B199,'MIS FINANZAS'!$H$7:$L$103,3,0)),"")</f>
        <v/>
      </c>
      <c r="G199" s="203" t="str">
        <f>IF(D199="No tan necesario",VLOOKUP(B199,'OPORTUNIDADES DE MEJORA'!$AL$7:$AQ$103,6,0),IF(D199="No necesario",VLOOKUP(B199,'OPORTUNIDADES DE MEJORA'!$AL$7:$AQ$103,6,0),IF(D199="Necesario",VLOOKUP(B199,'MIS FINANZAS'!$H$7:$L$103,5,0),IF(C199="Ingreso",VLOOKUP(B199,'MIS FINANZAS'!$B$7:$F$103,5,0),""))))</f>
        <v/>
      </c>
      <c r="H199" s="202" t="str">
        <f t="shared" si="2"/>
        <v/>
      </c>
      <c r="I199" s="203" t="str">
        <f t="shared" si="3"/>
        <v/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>
        <v>193.0</v>
      </c>
      <c r="AB199" s="1" t="str">
        <f>IFERROR(IFERROR(VLOOKUP(AA199,'MIS FINANZAS'!$AQ$7:$AR$103,2,0),VLOOKUP(AA199,'MIS FINANZAS'!$AS$7:$AT$103,2,0)),"")</f>
        <v/>
      </c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>
        <v>194.0</v>
      </c>
      <c r="AB200" s="1" t="str">
        <f>IFERROR(IFERROR(VLOOKUP(AA200,'MIS FINANZAS'!$AQ$7:$AR$103,2,0),VLOOKUP(AA200,'MIS FINANZAS'!$AS$7:$AT$103,2,0)),"")</f>
        <v/>
      </c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">
    <mergeCell ref="B5:G5"/>
  </mergeCells>
  <printOptions/>
  <pageMargins bottom="0.75" footer="0.0" header="0.0" left="0.7" right="0.7" top="0.75"/>
  <pageSetup orientation="portrait"/>
  <drawing r:id="rId1"/>
</worksheet>
</file>